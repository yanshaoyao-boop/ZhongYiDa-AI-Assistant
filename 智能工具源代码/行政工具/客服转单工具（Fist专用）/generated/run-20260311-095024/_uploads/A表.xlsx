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" sheetId="1" r:id="rId1"/>
  </sheets>
  <definedNames>
    <definedName name="_xlnm._FilterDatabase" localSheetId="0" hidden="1">Sheet!$A$1:$BC$7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<sst xmlns="http://schemas.openxmlformats.org/spreadsheetml/2006/main" count="271" uniqueCount="117">
  <si>
    <t>操作状态</t>
  </si>
  <si>
    <t>中转状态</t>
  </si>
  <si>
    <t>是否扣件</t>
  </si>
  <si>
    <t>客户代码</t>
  </si>
  <si>
    <t>客户简称</t>
  </si>
  <si>
    <t>客户单号</t>
  </si>
  <si>
    <t>服务商单号</t>
  </si>
  <si>
    <t>渠道转单号</t>
  </si>
  <si>
    <t>收货点</t>
  </si>
  <si>
    <t>销售产品</t>
  </si>
  <si>
    <t>服务渠道</t>
  </si>
  <si>
    <t>运单业务员</t>
  </si>
  <si>
    <t>目的国家</t>
  </si>
  <si>
    <t>目的邮编</t>
  </si>
  <si>
    <t>签入操作员</t>
  </si>
  <si>
    <t>仓库代码</t>
  </si>
  <si>
    <t>签出操作员</t>
  </si>
  <si>
    <t>币种</t>
  </si>
  <si>
    <t>录单员</t>
  </si>
  <si>
    <t>收件人税号</t>
  </si>
  <si>
    <t>后线客服</t>
  </si>
  <si>
    <t>头程主单号</t>
  </si>
  <si>
    <t>配仓单号</t>
  </si>
  <si>
    <t>财务员</t>
  </si>
  <si>
    <t>收/出货物类型</t>
  </si>
  <si>
    <t>产品组</t>
  </si>
  <si>
    <t>收货实重</t>
  </si>
  <si>
    <t>服务商</t>
  </si>
  <si>
    <t>收货件数</t>
  </si>
  <si>
    <t>客户预报重量</t>
  </si>
  <si>
    <t>收货计费重</t>
  </si>
  <si>
    <t>泡重比</t>
  </si>
  <si>
    <t>中文品名</t>
  </si>
  <si>
    <t>额外服务</t>
  </si>
  <si>
    <t>自定义备注(客户可见)</t>
  </si>
  <si>
    <t>前线客服</t>
  </si>
  <si>
    <t>最新备注</t>
  </si>
  <si>
    <t>取件员</t>
  </si>
  <si>
    <t>业务员备注</t>
  </si>
  <si>
    <t>申报价值</t>
  </si>
  <si>
    <t>出货材积重</t>
  </si>
  <si>
    <t>出货立方</t>
  </si>
  <si>
    <t>出货实重</t>
  </si>
  <si>
    <t>收货立方</t>
  </si>
  <si>
    <t>收货材积重</t>
  </si>
  <si>
    <t>服务商计费重</t>
  </si>
  <si>
    <t>出货袋号</t>
  </si>
  <si>
    <t>备注时间</t>
  </si>
  <si>
    <t>到货时间</t>
  </si>
  <si>
    <t>签入时间</t>
  </si>
  <si>
    <t>出货时间</t>
  </si>
  <si>
    <t>出货总单</t>
  </si>
  <si>
    <t>客户业务员</t>
  </si>
  <si>
    <t>签出时间</t>
  </si>
  <si>
    <t>到货总单</t>
  </si>
  <si>
    <t>PO Number*</t>
  </si>
  <si>
    <t>签入</t>
  </si>
  <si>
    <t>正常走货</t>
  </si>
  <si>
    <t/>
  </si>
  <si>
    <t>10002181</t>
  </si>
  <si>
    <t>福州达源-同行</t>
  </si>
  <si>
    <t>FBA198K4XZDD</t>
  </si>
  <si>
    <t>MRZX502154</t>
  </si>
  <si>
    <t>泉州分公司</t>
  </si>
  <si>
    <t>华东20T按方卡派</t>
  </si>
  <si>
    <t>MXD-泉州暂扣</t>
  </si>
  <si>
    <t>郑伟康</t>
  </si>
  <si>
    <t>美国</t>
  </si>
  <si>
    <t>92337</t>
  </si>
  <si>
    <t>泉州仓管</t>
  </si>
  <si>
    <t>LAX9</t>
  </si>
  <si>
    <t>USD</t>
  </si>
  <si>
    <t>42</t>
  </si>
  <si>
    <t>李珍珠</t>
  </si>
  <si>
    <t>包裹-包裹</t>
  </si>
  <si>
    <t>专线</t>
  </si>
  <si>
    <t>途远国际</t>
  </si>
  <si>
    <t>尼龙腰带</t>
  </si>
  <si>
    <t>非报关件</t>
  </si>
  <si>
    <t>郑婉晴</t>
  </si>
  <si>
    <t>批量修改服务渠道:,重新计算出货计费重,公式【MAX(399.030,746.000)】</t>
  </si>
  <si>
    <t>2026-03-07 09:07:58</t>
  </si>
  <si>
    <t>2026-03-06 10:24:52</t>
  </si>
  <si>
    <t>2026-03-06 19:01:17</t>
  </si>
  <si>
    <t>10002181-QZ-2603060001</t>
  </si>
  <si>
    <t>签出</t>
  </si>
  <si>
    <t>FBA198K5LZS9</t>
  </si>
  <si>
    <t>MRZX502155</t>
  </si>
  <si>
    <t>华东明星达25T卡派按方</t>
  </si>
  <si>
    <t>60142</t>
  </si>
  <si>
    <t>RFD2</t>
  </si>
  <si>
    <t>CSNU6247744</t>
  </si>
  <si>
    <t>【批量签出】签出成功。</t>
  </si>
  <si>
    <t>2026-03-08 21:14:56</t>
  </si>
  <si>
    <t>2026-03-06 19:03:38</t>
  </si>
  <si>
    <t>2026-03-08 21:14:17</t>
  </si>
  <si>
    <t>QZ-TYGJ-260308-0001</t>
  </si>
  <si>
    <t>FBA198K5M2F7</t>
  </si>
  <si>
    <t>MRZX502157</t>
  </si>
  <si>
    <t>华东芝加哥快线普卡按方</t>
  </si>
  <si>
    <t>46143</t>
  </si>
  <si>
    <t>IND9</t>
  </si>
  <si>
    <t>更新快件信息。 使用PDA将 子单号【MRZX502157-0037】绑定库位【B3-14T22】；登陆人:张金岭(315)；时间:2026-03-08 18:52:50；</t>
  </si>
  <si>
    <t>2026-03-08 18:52:50</t>
  </si>
  <si>
    <t>2026-03-06 19:04:06</t>
  </si>
  <si>
    <t>FBA198K7P7FL</t>
  </si>
  <si>
    <t>MRZX502161</t>
  </si>
  <si>
    <t>92376</t>
  </si>
  <si>
    <t>LGB8</t>
  </si>
  <si>
    <t>批量修改服务渠道:,重新计算出货计费重,公式【MAX(399.030,744.000)】</t>
  </si>
  <si>
    <t>2026-03-06 19:01:51</t>
  </si>
  <si>
    <t>FBA198K42TKX</t>
  </si>
  <si>
    <t>MRZX502167</t>
  </si>
  <si>
    <t>46140</t>
  </si>
  <si>
    <t>MQJ1</t>
  </si>
  <si>
    <t>2026-03-08 21:14:55</t>
  </si>
  <si>
    <t>2026-03-06 19:04:34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</si>
</sst>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D7"/>
  <sheetViews>
    <sheetView tabSelected="1" topLeftCell="R1" workbookViewId="0">
      <pane ySplit="1" topLeftCell="A2" activePane="bottomLeft" state="frozen"/>
      <selection/>
      <selection pane="bottomLeft" activeCell="AG2" sqref="AG2"/>
    </sheetView>
  </sheetViews>
  <sheetFormatPr defaultColWidth="9" defaultRowHeight="13.5" outlineLevelRow="6"/>
  <cols>
    <col min="1" max="1" width="14.2916666666667" style="1" customWidth="1"/>
    <col min="2" max="4" width="10.7083333333333" style="1" customWidth="1"/>
    <col min="5" max="5" width="17.1416666666667" style="1" customWidth="1"/>
    <col min="6" max="6" width="20" style="1" customWidth="1"/>
    <col min="7" max="8" width="24.2916666666667" style="1" customWidth="1"/>
    <col min="9" max="9" width="21.4333333333333" style="1" customWidth="1"/>
    <col min="10" max="10" width="20" style="1" customWidth="1"/>
    <col min="11" max="11" width="31.4333333333333" style="1" customWidth="1"/>
    <col min="12" max="12" width="18.5666666666667" style="1" customWidth="1"/>
    <col min="13" max="13" width="15.7083333333333" style="1" customWidth="1"/>
    <col min="14" max="14" width="14.2916666666667" style="1" customWidth="1"/>
    <col min="15" max="15" width="10.7083333333333" style="1" customWidth="1"/>
    <col min="16" max="16" width="11.4333333333333" style="1" customWidth="1"/>
    <col min="17" max="17" width="10.7083333333333" style="1" customWidth="1"/>
    <col min="18" max="18" width="8.56666666666667" style="1" customWidth="1"/>
    <col min="19" max="22" width="10.7083333333333" style="1" customWidth="1"/>
    <col min="23" max="23" width="12.8583333333333" style="1" customWidth="1"/>
    <col min="24" max="24" width="10.7083333333333" style="1" customWidth="1"/>
    <col min="25" max="25" width="21.4333333333333" style="1" customWidth="1"/>
    <col min="26" max="26" width="10.7083333333333" style="1" customWidth="1"/>
    <col min="27" max="27" width="14.2916666666667" style="1" customWidth="1"/>
    <col min="28" max="28" width="18.5666666666667" style="1" customWidth="1"/>
    <col min="29" max="29" width="14.2916666666667" style="2" customWidth="1"/>
    <col min="30" max="30" width="10.7083333333333" style="1" customWidth="1"/>
    <col min="31" max="31" width="14.2916666666667" style="1" customWidth="1"/>
    <col min="32" max="33" width="10.7083333333333" style="1" customWidth="1"/>
    <col min="34" max="34" width="22.8583333333333" style="1" customWidth="1"/>
    <col min="35" max="35" width="17.1416666666667" style="1" customWidth="1"/>
    <col min="36" max="36" width="10.7083333333333" style="1" customWidth="1"/>
    <col min="37" max="37" width="47.1416666666667" style="1" customWidth="1"/>
    <col min="38" max="39" width="10.7083333333333" style="1" customWidth="1"/>
    <col min="40" max="46" width="14.2916666666667" style="1" customWidth="1"/>
    <col min="47" max="47" width="31.4333333333333" style="1" customWidth="1"/>
    <col min="48" max="51" width="21.4333333333333" style="1" customWidth="1"/>
    <col min="52" max="52" width="31.4333333333333" style="1" customWidth="1"/>
    <col min="53" max="53" width="18.5666666666667" style="1" customWidth="1"/>
    <col min="54" max="54" width="21.4333333333333" style="1" customWidth="1"/>
    <col min="55" max="55" width="37.1416666666667" style="1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t="s">
        <v>55</v>
      </c>
    </row>
    <row r="2" spans="1:56">
      <c r="A2" s="1" t="s">
        <v>56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58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  <c r="N2" s="1" t="s">
        <v>68</v>
      </c>
      <c r="O2" s="1" t="s">
        <v>69</v>
      </c>
      <c r="P2" s="1" t="s">
        <v>70</v>
      </c>
      <c r="Q2" s="1" t="s">
        <v>58</v>
      </c>
      <c r="R2" s="1" t="s">
        <v>71</v>
      </c>
      <c r="S2" s="1" t="s">
        <v>58</v>
      </c>
      <c r="T2" s="1" t="s">
        <v>72</v>
      </c>
      <c r="U2" s="1" t="s">
        <v>58</v>
      </c>
      <c r="V2" s="1" t="s">
        <v>58</v>
      </c>
      <c r="W2" s="1" t="s">
        <v>58</v>
      </c>
      <c r="X2" s="1" t="s">
        <v>73</v>
      </c>
      <c r="Y2" s="1" t="s">
        <v>74</v>
      </c>
      <c r="Z2" s="1" t="s">
        <v>75</v>
      </c>
      <c r="AA2" s="1">
        <v>746</v>
      </c>
      <c r="AB2" s="1" t="s">
        <v>76</v>
      </c>
      <c r="AC2" s="2">
        <v>38</v>
      </c>
      <c r="AD2" s="1">
        <v>708</v>
      </c>
      <c r="AE2" s="1">
        <v>2.378</v>
      </c>
      <c r="AF2" s="1">
        <v>313.71</v>
      </c>
      <c r="AG2" s="1" t="s">
        <v>77</v>
      </c>
      <c r="AH2" s="1" t="s">
        <v>78</v>
      </c>
      <c r="AI2" s="1" t="s">
        <v>58</v>
      </c>
      <c r="AJ2" s="1" t="s">
        <v>79</v>
      </c>
      <c r="AK2" s="1" t="s">
        <v>80</v>
      </c>
      <c r="AL2" s="1" t="s">
        <v>58</v>
      </c>
      <c r="AM2" s="1" t="s">
        <v>58</v>
      </c>
      <c r="AN2" s="1">
        <v>6336</v>
      </c>
      <c r="AO2" s="1">
        <v>399.03</v>
      </c>
      <c r="AP2" s="1">
        <v>2.378</v>
      </c>
      <c r="AQ2" s="1">
        <v>746</v>
      </c>
      <c r="AR2" s="1">
        <v>2.378</v>
      </c>
      <c r="AS2" s="1">
        <v>2.378</v>
      </c>
      <c r="AT2" s="1">
        <v>746</v>
      </c>
      <c r="AU2" s="1" t="s">
        <v>58</v>
      </c>
      <c r="AV2" s="1" t="s">
        <v>81</v>
      </c>
      <c r="AW2" s="1" t="s">
        <v>82</v>
      </c>
      <c r="AX2" s="1" t="s">
        <v>83</v>
      </c>
      <c r="AY2" s="1" t="s">
        <v>58</v>
      </c>
      <c r="AZ2" s="1" t="s">
        <v>58</v>
      </c>
      <c r="BA2" s="1" t="s">
        <v>66</v>
      </c>
      <c r="BB2" s="1" t="s">
        <v>58</v>
      </c>
      <c r="BC2" s="1" t="s">
        <v>84</v>
      </c>
    </row>
    <row r="3" spans="1:56">
      <c r="A3" s="1" t="s">
        <v>85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86</v>
      </c>
      <c r="G3" s="1" t="s">
        <v>87</v>
      </c>
      <c r="H3" s="1" t="s">
        <v>58</v>
      </c>
      <c r="I3" s="1" t="s">
        <v>63</v>
      </c>
      <c r="J3" s="1" t="s">
        <v>88</v>
      </c>
      <c r="K3" s="1" t="s">
        <v>65</v>
      </c>
      <c r="L3" s="1" t="s">
        <v>66</v>
      </c>
      <c r="M3" s="1" t="s">
        <v>67</v>
      </c>
      <c r="N3" s="1" t="s">
        <v>89</v>
      </c>
      <c r="O3" s="1" t="s">
        <v>69</v>
      </c>
      <c r="P3" s="1" t="s">
        <v>90</v>
      </c>
      <c r="Q3" s="1" t="s">
        <v>69</v>
      </c>
      <c r="R3" s="1" t="s">
        <v>71</v>
      </c>
      <c r="S3" s="1" t="s">
        <v>58</v>
      </c>
      <c r="T3" s="1" t="s">
        <v>72</v>
      </c>
      <c r="U3" s="1" t="s">
        <v>58</v>
      </c>
      <c r="V3" s="1" t="s">
        <v>58</v>
      </c>
      <c r="W3" s="1" t="s">
        <v>91</v>
      </c>
      <c r="X3" s="1" t="s">
        <v>73</v>
      </c>
      <c r="Y3" s="1" t="s">
        <v>74</v>
      </c>
      <c r="Z3" s="1" t="s">
        <v>75</v>
      </c>
      <c r="AA3" s="1">
        <v>783</v>
      </c>
      <c r="AB3" s="1" t="s">
        <v>76</v>
      </c>
      <c r="AC3" s="2">
        <v>40</v>
      </c>
      <c r="AD3" s="1">
        <v>745</v>
      </c>
      <c r="AE3" s="1">
        <v>2.504</v>
      </c>
      <c r="AF3" s="1">
        <v>312.7</v>
      </c>
      <c r="AG3" s="1" t="s">
        <v>77</v>
      </c>
      <c r="AH3" s="1" t="s">
        <v>78</v>
      </c>
      <c r="AI3" s="1" t="s">
        <v>58</v>
      </c>
      <c r="AJ3" s="1" t="s">
        <v>79</v>
      </c>
      <c r="AK3" s="1" t="s">
        <v>92</v>
      </c>
      <c r="AL3" s="1" t="s">
        <v>58</v>
      </c>
      <c r="AM3" s="1" t="s">
        <v>58</v>
      </c>
      <c r="AN3" s="1">
        <v>6672</v>
      </c>
      <c r="AO3" s="1">
        <v>420.18</v>
      </c>
      <c r="AP3" s="1">
        <v>2.504</v>
      </c>
      <c r="AQ3" s="1">
        <v>783</v>
      </c>
      <c r="AR3" s="1">
        <v>2.504</v>
      </c>
      <c r="AS3" s="1">
        <v>2.504</v>
      </c>
      <c r="AT3" s="1">
        <v>783</v>
      </c>
      <c r="AU3" s="1" t="s">
        <v>58</v>
      </c>
      <c r="AV3" s="1" t="s">
        <v>93</v>
      </c>
      <c r="AW3" s="1" t="s">
        <v>82</v>
      </c>
      <c r="AX3" s="1" t="s">
        <v>94</v>
      </c>
      <c r="AY3" s="1" t="s">
        <v>95</v>
      </c>
      <c r="AZ3" s="1" t="s">
        <v>96</v>
      </c>
      <c r="BA3" s="1" t="s">
        <v>66</v>
      </c>
      <c r="BB3" s="1" t="s">
        <v>93</v>
      </c>
      <c r="BC3" s="1" t="s">
        <v>84</v>
      </c>
    </row>
    <row r="4" spans="1:56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97</v>
      </c>
      <c r="G4" s="1" t="s">
        <v>98</v>
      </c>
      <c r="H4" s="1" t="s">
        <v>58</v>
      </c>
      <c r="I4" s="1" t="s">
        <v>63</v>
      </c>
      <c r="J4" s="1" t="s">
        <v>99</v>
      </c>
      <c r="K4" s="1" t="s">
        <v>99</v>
      </c>
      <c r="L4" s="1" t="s">
        <v>66</v>
      </c>
      <c r="M4" s="1" t="s">
        <v>67</v>
      </c>
      <c r="N4" s="1" t="s">
        <v>100</v>
      </c>
      <c r="O4" s="1" t="s">
        <v>69</v>
      </c>
      <c r="P4" s="1" t="s">
        <v>101</v>
      </c>
      <c r="Q4" s="1" t="s">
        <v>58</v>
      </c>
      <c r="R4" s="1" t="s">
        <v>71</v>
      </c>
      <c r="S4" s="1" t="s">
        <v>58</v>
      </c>
      <c r="T4" s="1" t="s">
        <v>72</v>
      </c>
      <c r="U4" s="1" t="s">
        <v>58</v>
      </c>
      <c r="V4" s="1" t="s">
        <v>58</v>
      </c>
      <c r="W4" s="1" t="s">
        <v>58</v>
      </c>
      <c r="X4" s="1" t="s">
        <v>73</v>
      </c>
      <c r="Y4" s="1" t="s">
        <v>74</v>
      </c>
      <c r="Z4" s="1" t="s">
        <v>75</v>
      </c>
      <c r="AA4" s="1">
        <v>842</v>
      </c>
      <c r="AB4" s="1" t="s">
        <v>76</v>
      </c>
      <c r="AC4" s="2">
        <v>43</v>
      </c>
      <c r="AD4" s="1">
        <v>800.5</v>
      </c>
      <c r="AE4" s="1">
        <v>2.693</v>
      </c>
      <c r="AF4" s="1">
        <v>312.66</v>
      </c>
      <c r="AG4" s="1" t="s">
        <v>77</v>
      </c>
      <c r="AH4" s="1" t="s">
        <v>78</v>
      </c>
      <c r="AI4" s="1" t="s">
        <v>58</v>
      </c>
      <c r="AJ4" s="1" t="s">
        <v>79</v>
      </c>
      <c r="AK4" s="1" t="s">
        <v>102</v>
      </c>
      <c r="AL4" s="1" t="s">
        <v>58</v>
      </c>
      <c r="AM4" s="1" t="s">
        <v>58</v>
      </c>
      <c r="AN4" s="1">
        <v>7176</v>
      </c>
      <c r="AO4" s="1">
        <v>2.693</v>
      </c>
      <c r="AP4" s="1">
        <v>2.693</v>
      </c>
      <c r="AQ4" s="1">
        <v>842</v>
      </c>
      <c r="AR4" s="1">
        <v>2.693</v>
      </c>
      <c r="AS4" s="1">
        <v>2.693</v>
      </c>
      <c r="AT4" s="1">
        <v>2.693</v>
      </c>
      <c r="AU4" s="1" t="s">
        <v>58</v>
      </c>
      <c r="AV4" s="1" t="s">
        <v>103</v>
      </c>
      <c r="AW4" s="1" t="s">
        <v>82</v>
      </c>
      <c r="AX4" s="1" t="s">
        <v>104</v>
      </c>
      <c r="AY4" s="1" t="s">
        <v>58</v>
      </c>
      <c r="AZ4" s="1" t="s">
        <v>58</v>
      </c>
      <c r="BA4" s="1" t="s">
        <v>66</v>
      </c>
      <c r="BB4" s="1" t="s">
        <v>58</v>
      </c>
      <c r="BC4" s="1" t="s">
        <v>84</v>
      </c>
    </row>
    <row r="5" spans="1:56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105</v>
      </c>
      <c r="G5" s="1" t="s">
        <v>106</v>
      </c>
      <c r="H5" s="1" t="s">
        <v>58</v>
      </c>
      <c r="I5" s="1" t="s">
        <v>63</v>
      </c>
      <c r="J5" s="1" t="s">
        <v>64</v>
      </c>
      <c r="K5" s="1" t="s">
        <v>65</v>
      </c>
      <c r="L5" s="1" t="s">
        <v>66</v>
      </c>
      <c r="M5" s="1" t="s">
        <v>67</v>
      </c>
      <c r="N5" s="1" t="s">
        <v>107</v>
      </c>
      <c r="O5" s="1" t="s">
        <v>69</v>
      </c>
      <c r="P5" s="1" t="s">
        <v>108</v>
      </c>
      <c r="Q5" s="1" t="s">
        <v>58</v>
      </c>
      <c r="R5" s="1" t="s">
        <v>71</v>
      </c>
      <c r="S5" s="1" t="s">
        <v>58</v>
      </c>
      <c r="T5" s="1" t="s">
        <v>72</v>
      </c>
      <c r="U5" s="1" t="s">
        <v>58</v>
      </c>
      <c r="V5" s="1" t="s">
        <v>58</v>
      </c>
      <c r="W5" s="1" t="s">
        <v>58</v>
      </c>
      <c r="X5" s="1" t="s">
        <v>73</v>
      </c>
      <c r="Y5" s="1" t="s">
        <v>74</v>
      </c>
      <c r="Z5" s="1" t="s">
        <v>75</v>
      </c>
      <c r="AA5" s="1">
        <v>744</v>
      </c>
      <c r="AB5" s="1" t="s">
        <v>76</v>
      </c>
      <c r="AC5" s="2">
        <v>38</v>
      </c>
      <c r="AD5" s="1">
        <v>708</v>
      </c>
      <c r="AE5" s="1">
        <v>2.378</v>
      </c>
      <c r="AF5" s="1">
        <v>312.87</v>
      </c>
      <c r="AG5" s="1" t="s">
        <v>77</v>
      </c>
      <c r="AH5" s="1" t="s">
        <v>78</v>
      </c>
      <c r="AI5" s="1" t="s">
        <v>58</v>
      </c>
      <c r="AJ5" s="1" t="s">
        <v>79</v>
      </c>
      <c r="AK5" s="1" t="s">
        <v>109</v>
      </c>
      <c r="AL5" s="1" t="s">
        <v>58</v>
      </c>
      <c r="AM5" s="1" t="s">
        <v>58</v>
      </c>
      <c r="AN5" s="1">
        <v>6336</v>
      </c>
      <c r="AO5" s="1">
        <v>399.03</v>
      </c>
      <c r="AP5" s="1">
        <v>2.378</v>
      </c>
      <c r="AQ5" s="1">
        <v>744</v>
      </c>
      <c r="AR5" s="1">
        <v>2.378</v>
      </c>
      <c r="AS5" s="1">
        <v>2.378</v>
      </c>
      <c r="AT5" s="1">
        <v>744</v>
      </c>
      <c r="AU5" s="1" t="s">
        <v>58</v>
      </c>
      <c r="AV5" s="1" t="s">
        <v>81</v>
      </c>
      <c r="AW5" s="1" t="s">
        <v>82</v>
      </c>
      <c r="AX5" s="1" t="s">
        <v>110</v>
      </c>
      <c r="AY5" s="1" t="s">
        <v>58</v>
      </c>
      <c r="AZ5" s="1" t="s">
        <v>58</v>
      </c>
      <c r="BA5" s="1" t="s">
        <v>66</v>
      </c>
      <c r="BB5" s="1" t="s">
        <v>58</v>
      </c>
      <c r="BC5" s="1" t="s">
        <v>84</v>
      </c>
    </row>
    <row r="6" spans="1:56">
      <c r="A6" s="1" t="s">
        <v>85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111</v>
      </c>
      <c r="G6" s="1" t="s">
        <v>112</v>
      </c>
      <c r="H6" s="1" t="s">
        <v>58</v>
      </c>
      <c r="I6" s="1" t="s">
        <v>63</v>
      </c>
      <c r="J6" s="1" t="s">
        <v>88</v>
      </c>
      <c r="K6" s="1" t="s">
        <v>65</v>
      </c>
      <c r="L6" s="1" t="s">
        <v>66</v>
      </c>
      <c r="M6" s="1" t="s">
        <v>67</v>
      </c>
      <c r="N6" s="1" t="s">
        <v>113</v>
      </c>
      <c r="O6" s="1" t="s">
        <v>69</v>
      </c>
      <c r="P6" s="1" t="s">
        <v>114</v>
      </c>
      <c r="Q6" s="1" t="s">
        <v>69</v>
      </c>
      <c r="R6" s="1" t="s">
        <v>71</v>
      </c>
      <c r="S6" s="1" t="s">
        <v>58</v>
      </c>
      <c r="T6" s="1" t="s">
        <v>72</v>
      </c>
      <c r="U6" s="1" t="s">
        <v>58</v>
      </c>
      <c r="V6" s="1" t="s">
        <v>58</v>
      </c>
      <c r="W6" s="1" t="s">
        <v>91</v>
      </c>
      <c r="X6" s="1" t="s">
        <v>73</v>
      </c>
      <c r="Y6" s="1" t="s">
        <v>74</v>
      </c>
      <c r="Z6" s="1" t="s">
        <v>75</v>
      </c>
      <c r="AA6" s="1">
        <v>781</v>
      </c>
      <c r="AB6" s="1" t="s">
        <v>76</v>
      </c>
      <c r="AC6" s="2">
        <v>40</v>
      </c>
      <c r="AD6" s="1">
        <v>745</v>
      </c>
      <c r="AE6" s="1">
        <v>2.504</v>
      </c>
      <c r="AF6" s="1">
        <v>311.9</v>
      </c>
      <c r="AG6" s="1" t="s">
        <v>77</v>
      </c>
      <c r="AH6" s="1" t="s">
        <v>78</v>
      </c>
      <c r="AI6" s="1" t="s">
        <v>58</v>
      </c>
      <c r="AJ6" s="1" t="s">
        <v>79</v>
      </c>
      <c r="AK6" s="1" t="s">
        <v>92</v>
      </c>
      <c r="AL6" s="1" t="s">
        <v>58</v>
      </c>
      <c r="AM6" s="1" t="s">
        <v>58</v>
      </c>
      <c r="AN6" s="1">
        <v>6672</v>
      </c>
      <c r="AO6" s="1">
        <v>420.18</v>
      </c>
      <c r="AP6" s="1">
        <v>2.504</v>
      </c>
      <c r="AQ6" s="1">
        <v>781</v>
      </c>
      <c r="AR6" s="1">
        <v>2.504</v>
      </c>
      <c r="AS6" s="1">
        <v>2.504</v>
      </c>
      <c r="AT6" s="1">
        <v>781</v>
      </c>
      <c r="AU6" s="1" t="s">
        <v>58</v>
      </c>
      <c r="AV6" s="1" t="s">
        <v>115</v>
      </c>
      <c r="AW6" s="1" t="s">
        <v>82</v>
      </c>
      <c r="AX6" s="1" t="s">
        <v>116</v>
      </c>
      <c r="AY6" s="1" t="s">
        <v>95</v>
      </c>
      <c r="AZ6" s="1" t="s">
        <v>96</v>
      </c>
      <c r="BA6" s="1" t="s">
        <v>66</v>
      </c>
      <c r="BB6" s="1" t="s">
        <v>115</v>
      </c>
      <c r="BC6" s="1" t="s">
        <v>84</v>
      </c>
    </row>
    <row r="7" spans="1:56">
      <c r="A7" s="1" t="str">
        <f>CONCATENATE("总行数:",TEXT(SUBTOTAL(3,A2:A6),"0"),"")</f>
        <v>总行数:5</v>
      </c>
      <c r="AA7" s="1" t="str">
        <f>CONCATENATE("总计:",TEXT(SUBTOTAL(9,AA2:AA6),"0.000"),"")</f>
        <v>总计:3896.000</v>
      </c>
      <c r="AC7" s="1" t="str">
        <f>CONCATENATE("总计:",TEXT(SUBTOTAL(9,AC2:AC6),"0"),"")</f>
        <v>总计:199</v>
      </c>
      <c r="AE7" s="1" t="str">
        <f>CONCATENATE("总计:",TEXT(SUBTOTAL(9,AE2:AE6),"0.000"),"")</f>
        <v>总计:12.457</v>
      </c>
      <c r="AO7" s="1" t="str">
        <f>CONCATENATE("总计:",TEXT(SUBTOTAL(9,AO2:AO6),"0.000"),"")</f>
        <v>总计:1641.113</v>
      </c>
      <c r="AP7" s="1" t="str">
        <f>CONCATENATE("总计:",TEXT(SUBTOTAL(9,AP2:AP6),"0.00000"),"")</f>
        <v>总计:12.45700</v>
      </c>
      <c r="AQ7" s="1" t="str">
        <f>CONCATENATE("总计:",TEXT(SUBTOTAL(9,AQ2:AQ6),"0.000"),"")</f>
        <v>总计:3896.000</v>
      </c>
      <c r="AR7" s="1" t="str">
        <f>CONCATENATE("总计:",TEXT(SUBTOTAL(9,AR2:AR6),"0.00000"),"")</f>
        <v>总计:12.45700</v>
      </c>
      <c r="AS7" s="1" t="str">
        <f>CONCATENATE("总计:",TEXT(SUBTOTAL(9,AS2:AS6),"0.000"),"")</f>
        <v>总计:12.457</v>
      </c>
      <c r="AT7" s="1" t="str">
        <f>CONCATENATE("总计:",TEXT(SUBTOTAL(9,AT2:AT6),"0.000"),"")</f>
        <v>总计:3056.693</v>
      </c>
    </row>
  </sheetData>
  <autoFilter xmlns:etc="http://www.wps.cn/officeDocument/2017/etCustomData" ref="A1:BC7" etc:filterBottomFollowUsedRange="0">
    <extLst/>
  </autoFilter>
  <pageMargins left="0.75" right="0.75" top="1" bottom="1" header="0.5" footer="0.5"/>
  <headerFooter/>
  <ignoredErrors>
    <ignoredError sqref="A1:B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MRZX</cp:lastModifiedBy>
  <dcterms:created xsi:type="dcterms:W3CDTF">2026-03-09T01:01:00Z</dcterms:created>
  <dcterms:modified xsi:type="dcterms:W3CDTF">2026-03-09T01:28:20Z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16.2.5.17068</vt:lpwstr>
  </property>
  <property fmtid="{D5CDD505-2E9C-101B-9397-08002B2CF9AE}" pid="3" name="ICV">
    <vt:lpwstr>AEEBC5F5D8FF4332B3EDBF943ECFED0A_13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