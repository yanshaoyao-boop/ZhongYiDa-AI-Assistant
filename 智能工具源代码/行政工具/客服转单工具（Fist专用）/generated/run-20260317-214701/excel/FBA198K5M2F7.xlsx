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1600" windowHeight="955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3">
    <font>
      <name val="DengXian"/>
      <charset val="134"/>
      <color theme="1"/>
      <sz val="11"/>
      <scheme val="minor"/>
    </font>
    <font>
      <name val="微软雅黑"/>
      <charset val="134"/>
      <family val="2"/>
      <b val="1"/>
      <color theme="0"/>
      <sz val="12"/>
    </font>
    <font>
      <name val="微软雅黑"/>
      <charset val="134"/>
      <family val="2"/>
      <sz val="11"/>
    </font>
    <font>
      <name val="微软雅黑"/>
      <charset val="134"/>
      <family val="2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family val="2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family val="2"/>
      <color theme="1"/>
      <sz val="9"/>
    </font>
    <font>
      <name val="微软雅黑"/>
      <charset val="134"/>
      <family val="2"/>
      <color rgb="FFFF0000"/>
      <sz val="9"/>
    </font>
    <font>
      <name val="微软雅黑"/>
      <charset val="134"/>
      <family val="2"/>
      <b val="1"/>
      <color theme="1"/>
      <sz val="9"/>
    </font>
    <font>
      <name val="Arial"/>
      <charset val="0"/>
      <family val="2"/>
      <b val="1"/>
      <color rgb="FF232F3E"/>
      <sz val="11"/>
    </font>
    <font>
      <name val="Arial"/>
      <charset val="0"/>
      <family val="2"/>
      <b val="1"/>
      <color rgb="FF667575"/>
      <sz val="11"/>
    </font>
    <font>
      <name val="微软雅黑"/>
      <charset val="134"/>
      <family val="2"/>
      <b val="1"/>
      <color theme="1"/>
      <sz val="11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微软雅黑"/>
      <charset val="134"/>
      <family val="2"/>
      <color indexed="10"/>
      <sz val="9"/>
    </font>
    <font>
      <name val="微软雅黑"/>
      <charset val="134"/>
      <family val="2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/>
    <xf numFmtId="0" fontId="15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9" borderId="11" applyAlignment="1">
      <alignment vertical="center"/>
    </xf>
    <xf numFmtId="0" fontId="22" fillId="10" borderId="12" applyAlignment="1">
      <alignment vertical="center"/>
    </xf>
    <xf numFmtId="0" fontId="23" fillId="10" borderId="11" applyAlignment="1">
      <alignment vertical="center"/>
    </xf>
    <xf numFmtId="0" fontId="24" fillId="11" borderId="13" applyAlignment="1">
      <alignment vertical="center"/>
    </xf>
    <xf numFmtId="0" fontId="25" fillId="0" borderId="14" applyAlignment="1">
      <alignment vertical="center"/>
    </xf>
    <xf numFmtId="0" fontId="6" fillId="0" borderId="15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9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9" fillId="17" borderId="0" applyAlignment="1">
      <alignment vertical="center"/>
    </xf>
    <xf numFmtId="0" fontId="29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9" fillId="21" borderId="0" applyAlignment="1">
      <alignment vertical="center"/>
    </xf>
    <xf numFmtId="0" fontId="29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9" fillId="25" borderId="0" applyAlignment="1">
      <alignment vertical="center"/>
    </xf>
    <xf numFmtId="0" fontId="29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9" fillId="33" borderId="0" applyAlignment="1">
      <alignment vertical="center"/>
    </xf>
    <xf numFmtId="0" fontId="29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9" fillId="37" borderId="0" applyAlignment="1">
      <alignment vertical="center"/>
    </xf>
    <xf numFmtId="0" fontId="0" fillId="0" borderId="0" applyAlignment="1">
      <alignment vertical="center"/>
    </xf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 wrapText="1"/>
    </xf>
    <xf numFmtId="0" fontId="6" fillId="4" borderId="3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  <author>18176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  <comment ref="A18" authorId="1" shapeId="0">
      <text>
        <t xml:space="preserve">这个地方填FBA 
如果是非亚马逊地址随机填就行，这是必填项
</t>
      </text>
    </comment>
    <comment ref="B18" authorId="1" shapeId="0">
      <text>
        <t>这个地方填亚马逊后台的追踪编码
如果是非亚马逊地址随机填就行，这是必填项</t>
      </text>
    </comment>
    <comment ref="L18" authorId="1" shapeId="0">
      <text>
        <t xml:space="preserve">必填准确项
</t>
      </text>
    </comment>
    <comment ref="N18" authorId="1" shapeId="0">
      <text>
        <t xml:space="preserve">必填准确项
</t>
      </text>
    </comment>
    <comment ref="O18" authorId="1" shapeId="0">
      <text>
        <t xml:space="preserve">必填准确项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15</col>
      <colOff>0</colOff>
      <row>17</row>
      <rowOff>0</rowOff>
    </from>
    <to>
      <col>16</col>
      <colOff>55245</colOff>
      <row>17</row>
      <rowOff>488950</rowOff>
    </to>
    <pic>
      <nvPicPr>
        <cNvPr id="139916" name="图片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551025" y="3179445"/>
          <a:ext cx="844550" cy="4889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tabSelected="1" zoomScale="115" zoomScaleNormal="115" zoomScaleSheetLayoutView="60" workbookViewId="0">
      <selection activeCell="B2" sqref="B2:D2"/>
    </sheetView>
  </sheetViews>
  <sheetFormatPr baseColWidth="8" defaultColWidth="11" defaultRowHeight="12.35"/>
  <cols>
    <col width="22.2389380530973" customWidth="1" style="26" min="1" max="1"/>
    <col width="17.1946902654867" customWidth="1" style="26" min="2" max="2"/>
    <col width="7.76991150442478" customWidth="1" style="26" min="3" max="3"/>
    <col width="14.4601769911504" customWidth="1" style="26" min="4" max="4"/>
    <col width="20.787610619469" customWidth="1" style="26" min="5" max="5"/>
    <col width="11.2477876106195" customWidth="1" style="26" min="6" max="6"/>
    <col width="13.6283185840708" customWidth="1" style="26" min="7" max="7"/>
    <col width="10.7610619469027" customWidth="1" style="26" min="8" max="9"/>
    <col width="13.3716814159292" customWidth="1" style="26" min="10" max="10"/>
    <col width="14.0796460176991" customWidth="1" style="26" min="11" max="11"/>
    <col width="14.2300884955752" customWidth="1" style="26" min="12" max="12"/>
    <col width="10.6283185840708" customWidth="1" style="26" min="13" max="14"/>
    <col width="11" customWidth="1" style="26" min="15" max="16384"/>
  </cols>
  <sheetData>
    <row r="1" ht="15.75" customHeight="1">
      <c r="A1" s="18" t="inlineStr">
        <is>
          <t>客户订单号</t>
        </is>
      </c>
      <c r="B1" s="19" t="inlineStr">
        <is>
          <t>FBA198KP77PZ</t>
        </is>
      </c>
      <c r="C1" s="60" t="n"/>
      <c r="D1" s="60" t="n"/>
      <c r="E1" s="18" t="inlineStr">
        <is>
          <t>带电*</t>
        </is>
      </c>
      <c r="F1" s="21" t="inlineStr">
        <is>
          <t>否</t>
        </is>
      </c>
      <c r="G1" s="60" t="n"/>
      <c r="H1" s="61" t="n"/>
      <c r="I1" s="22" t="n"/>
      <c r="J1" s="26" t="n"/>
      <c r="K1" s="26" t="n"/>
      <c r="L1" s="26" t="n"/>
      <c r="M1" s="26" t="n"/>
      <c r="N1" s="26" t="n"/>
      <c r="O1" s="26" t="n"/>
    </row>
    <row r="2" ht="15.75" customHeight="1">
      <c r="A2" s="18" t="inlineStr">
        <is>
          <t>服务*</t>
        </is>
      </c>
      <c r="B2" s="19" t="n"/>
      <c r="C2" s="60" t="n"/>
      <c r="D2" s="60" t="n"/>
      <c r="E2" s="18" t="inlineStr">
        <is>
          <t>带磁*</t>
        </is>
      </c>
      <c r="F2" s="21" t="inlineStr">
        <is>
          <t>否</t>
        </is>
      </c>
      <c r="G2" s="60" t="n"/>
      <c r="H2" s="61" t="n"/>
      <c r="I2" s="22" t="n"/>
      <c r="J2" s="26" t="n"/>
      <c r="K2" s="26" t="n"/>
      <c r="L2" s="26" t="n"/>
      <c r="M2" s="26" t="n"/>
      <c r="N2" s="26" t="n"/>
      <c r="O2" s="26" t="n"/>
    </row>
    <row r="3" ht="15.75" customHeight="1">
      <c r="A3" s="25" t="inlineStr">
        <is>
          <t>地址库编码</t>
        </is>
      </c>
      <c r="B3" s="19" t="inlineStr">
        <is>
          <t>IND9</t>
        </is>
      </c>
      <c r="C3" s="60" t="n"/>
      <c r="D3" s="60" t="n"/>
      <c r="E3" s="18" t="inlineStr">
        <is>
          <t>液体*</t>
        </is>
      </c>
      <c r="F3" s="21" t="inlineStr">
        <is>
          <t>否</t>
        </is>
      </c>
      <c r="G3" s="60" t="n"/>
      <c r="H3" s="61" t="n"/>
      <c r="I3" s="26" t="n"/>
      <c r="J3" s="26" t="n"/>
      <c r="K3" s="26" t="n"/>
      <c r="L3" s="26" t="n"/>
      <c r="M3" s="26" t="n"/>
      <c r="N3" s="26" t="n"/>
      <c r="O3" s="26" t="n"/>
    </row>
    <row r="4" ht="15.75" customHeight="1">
      <c r="A4" s="18" t="inlineStr">
        <is>
          <t>收件人姓名*</t>
        </is>
      </c>
      <c r="B4" s="27">
        <f>IFERROR(VLOOKUP(B3,地址库!A1:$N$628,3,FALSE),"仓库代码无效，如是非亚马逊地址，删除所有公式后填写")</f>
        <v/>
      </c>
      <c r="C4" s="60" t="n"/>
      <c r="D4" s="60" t="n"/>
      <c r="E4" s="18" t="inlineStr">
        <is>
          <t>粉末*</t>
        </is>
      </c>
      <c r="F4" s="21" t="inlineStr">
        <is>
          <t>否</t>
        </is>
      </c>
      <c r="G4" s="60" t="n"/>
      <c r="H4" s="61" t="n"/>
      <c r="I4" s="26" t="n"/>
      <c r="J4" s="26" t="n"/>
      <c r="K4" s="26" t="n"/>
      <c r="L4" s="26" t="n"/>
      <c r="M4" s="26" t="n"/>
      <c r="N4" s="26" t="n"/>
      <c r="O4" s="26" t="n"/>
    </row>
    <row r="5" ht="15.75" customHeight="1">
      <c r="A5" s="18" t="inlineStr">
        <is>
          <t>收件人公司</t>
        </is>
      </c>
      <c r="B5" s="37" t="n"/>
      <c r="C5" s="60" t="n"/>
      <c r="D5" s="60" t="n"/>
      <c r="E5" s="18" t="inlineStr">
        <is>
          <t>危险品*</t>
        </is>
      </c>
      <c r="F5" s="21" t="inlineStr">
        <is>
          <t>否</t>
        </is>
      </c>
      <c r="G5" s="60" t="n"/>
      <c r="H5" s="61" t="n"/>
      <c r="I5" s="26" t="n"/>
      <c r="J5" s="31" t="n"/>
      <c r="K5" s="31" t="n"/>
      <c r="L5" s="31" t="n"/>
      <c r="M5" s="26" t="n"/>
      <c r="N5" s="26" t="n"/>
      <c r="O5" s="26" t="n"/>
    </row>
    <row r="6" ht="14.25" customHeight="1">
      <c r="A6" s="18" t="inlineStr">
        <is>
          <t>收件人地址一*</t>
        </is>
      </c>
      <c r="B6" s="37">
        <f>VLOOKUP(B3,地址库!A1:$N$628,8,FALSE)</f>
        <v/>
      </c>
      <c r="C6" s="60" t="n"/>
      <c r="D6" s="60" t="n"/>
      <c r="E6" s="32" t="inlineStr">
        <is>
          <t>报关方式*</t>
        </is>
      </c>
      <c r="F6" s="33" t="inlineStr">
        <is>
          <t>非报关件</t>
        </is>
      </c>
      <c r="G6" s="60" t="n"/>
      <c r="H6" s="61" t="n"/>
      <c r="I6" s="26" t="n"/>
      <c r="J6" s="26" t="n"/>
      <c r="K6" s="26" t="n"/>
      <c r="L6" s="26" t="n"/>
      <c r="M6" s="26" t="n"/>
      <c r="N6" s="26" t="n"/>
      <c r="O6" s="26" t="n"/>
    </row>
    <row r="7">
      <c r="A7" s="18" t="inlineStr">
        <is>
          <t>收件人地址二</t>
        </is>
      </c>
      <c r="B7" s="37" t="n"/>
      <c r="C7" s="60" t="n"/>
      <c r="D7" s="60" t="n"/>
      <c r="E7" s="34" t="inlineStr">
        <is>
          <t>清关方式</t>
        </is>
      </c>
      <c r="F7" s="36" t="inlineStr">
        <is>
          <t>一般贸易清关</t>
        </is>
      </c>
      <c r="G7" s="60" t="n"/>
      <c r="H7" s="61" t="n"/>
      <c r="I7" s="26" t="n"/>
      <c r="J7" s="26" t="n"/>
      <c r="K7" s="26" t="n"/>
      <c r="L7" s="26" t="n"/>
      <c r="M7" s="26" t="n"/>
      <c r="N7" s="26" t="n"/>
      <c r="O7" s="26" t="n"/>
    </row>
    <row r="8">
      <c r="A8" s="18" t="inlineStr">
        <is>
          <t>收件人地址三</t>
        </is>
      </c>
      <c r="B8" s="37" t="n"/>
      <c r="C8" s="60" t="n"/>
      <c r="D8" s="60" t="n"/>
      <c r="E8" s="32" t="inlineStr">
        <is>
          <t>交税方式</t>
        </is>
      </c>
      <c r="F8" s="33" t="inlineStr">
        <is>
          <t>包税</t>
        </is>
      </c>
      <c r="G8" s="60" t="n"/>
      <c r="H8" s="61" t="n"/>
      <c r="I8" s="26" t="n"/>
      <c r="J8" s="26" t="n"/>
      <c r="K8" s="26" t="n"/>
      <c r="L8" s="26" t="n"/>
      <c r="M8" s="26" t="n"/>
      <c r="N8" s="26" t="n"/>
      <c r="O8" s="26" t="n"/>
    </row>
    <row r="9" ht="14.25" customHeight="1">
      <c r="A9" s="18" t="inlineStr">
        <is>
          <t>收件人城市*</t>
        </is>
      </c>
      <c r="B9" s="37">
        <f>VLOOKUP(B3,地址库!A1:$N$628,11,FALSE)</f>
        <v/>
      </c>
      <c r="C9" s="60" t="n"/>
      <c r="D9" s="60" t="n"/>
      <c r="E9" s="18" t="inlineStr">
        <is>
          <t>交货条款</t>
        </is>
      </c>
      <c r="F9" s="36" t="n"/>
      <c r="G9" s="60" t="n"/>
      <c r="H9" s="61" t="n"/>
      <c r="I9" s="26" t="n"/>
      <c r="J9" s="26" t="n"/>
      <c r="K9" s="26" t="n"/>
      <c r="L9" s="26" t="n"/>
      <c r="M9" s="26" t="n"/>
      <c r="N9" s="26" t="n"/>
      <c r="O9" s="26" t="n"/>
    </row>
    <row r="10" ht="14.25" customHeight="1">
      <c r="A10" s="18" t="inlineStr">
        <is>
          <t>收件人省份/州</t>
        </is>
      </c>
      <c r="B10" s="37">
        <f>VLOOKUP(B3,地址库!A1:$N$628,12,FALSE)</f>
        <v/>
      </c>
      <c r="C10" s="60" t="n"/>
      <c r="D10" s="60" t="n"/>
      <c r="E10" s="32" t="inlineStr">
        <is>
          <t>VAT号*</t>
        </is>
      </c>
      <c r="F10" s="33" t="n"/>
      <c r="G10" s="60" t="n"/>
      <c r="H10" s="61" t="n"/>
      <c r="I10" s="26" t="n"/>
      <c r="J10" s="26" t="n"/>
      <c r="K10" s="26" t="n"/>
      <c r="L10" s="26" t="n"/>
      <c r="M10" s="26" t="n"/>
      <c r="N10" s="26" t="n"/>
      <c r="O10" s="26" t="n"/>
    </row>
    <row r="11" ht="14.25" customHeight="1">
      <c r="A11" s="18" t="inlineStr">
        <is>
          <t>收件人邮编*</t>
        </is>
      </c>
      <c r="B11" s="37">
        <f>VLOOKUP(B3,地址库!A1:$N$628,14,FALSE)</f>
        <v/>
      </c>
      <c r="C11" s="60" t="n"/>
      <c r="D11" s="60" t="n"/>
      <c r="E11" s="18" t="inlineStr">
        <is>
          <t>参考号一</t>
        </is>
      </c>
      <c r="F11" s="36" t="n"/>
      <c r="G11" s="60" t="n"/>
      <c r="H11" s="61" t="n"/>
      <c r="I11" s="26" t="n"/>
      <c r="J11" s="26" t="n"/>
      <c r="K11" s="26" t="n"/>
      <c r="L11" s="26" t="n"/>
      <c r="M11" s="26" t="n"/>
      <c r="N11" s="26" t="n"/>
      <c r="O11" s="26" t="n"/>
    </row>
    <row r="12" ht="12.4" customHeight="1">
      <c r="A12" s="18" t="inlineStr">
        <is>
          <t>收件人国家代码(二字代码)*</t>
        </is>
      </c>
      <c r="B12" s="37">
        <f>VLOOKUP(B3,地址库!A1:$N$628,13,FALSE)</f>
        <v/>
      </c>
      <c r="C12" s="60" t="n"/>
      <c r="D12" s="60" t="n"/>
      <c r="E12" s="32" t="inlineStr">
        <is>
          <t>申报币种**</t>
        </is>
      </c>
      <c r="F12" s="39" t="inlineStr">
        <is>
          <t>美元</t>
        </is>
      </c>
      <c r="G12" s="60" t="n"/>
      <c r="H12" s="61" t="n"/>
      <c r="I12" s="26" t="n"/>
      <c r="J12" s="26" t="n"/>
      <c r="K12" s="26" t="n"/>
      <c r="L12" s="26" t="n"/>
      <c r="M12" s="26" t="n"/>
      <c r="N12" s="26" t="n"/>
      <c r="O12" s="26" t="n"/>
    </row>
    <row r="13" ht="12.4" customHeight="1">
      <c r="A13" s="18" t="inlineStr">
        <is>
          <t>收件人电话</t>
        </is>
      </c>
      <c r="B13" s="37" t="n"/>
      <c r="C13" s="60" t="n"/>
      <c r="D13" s="60" t="n"/>
      <c r="E13" s="18" t="inlineStr">
        <is>
          <t>备注*</t>
        </is>
      </c>
      <c r="F13" s="21" t="n"/>
      <c r="G13" s="60" t="n"/>
      <c r="H13" s="61" t="n"/>
      <c r="I13" s="26" t="n"/>
      <c r="J13" s="40" t="inlineStr">
        <is>
          <t>填入开船时间</t>
        </is>
      </c>
      <c r="K13" s="40" t="inlineStr">
        <is>
          <t>预计送仓天数</t>
        </is>
      </c>
      <c r="L13" s="40" t="inlineStr">
        <is>
          <t>预计送仓时间</t>
        </is>
      </c>
      <c r="M13" s="26" t="n"/>
      <c r="N13" s="26" t="n"/>
      <c r="O13" s="26" t="n"/>
    </row>
    <row r="14">
      <c r="A14" s="18" t="inlineStr">
        <is>
          <t>收件人邮箱</t>
        </is>
      </c>
      <c r="B14" s="37" t="n"/>
      <c r="C14" s="60" t="n"/>
      <c r="D14" s="60" t="n"/>
      <c r="E14" s="41" t="inlineStr">
        <is>
          <t>亚马逊预约配送时段*
（必填）</t>
        </is>
      </c>
      <c r="F14" s="42" t="n"/>
      <c r="G14" s="60" t="n"/>
      <c r="H14" s="61" t="n"/>
      <c r="I14" s="43" t="n"/>
      <c r="J14" s="62" t="inlineStr">
        <is>
          <t>年/月/日</t>
        </is>
      </c>
      <c r="K14" s="40">
        <f>VLOOKUP(B2&amp;B3,预计送仓数据!A1:$E$1000,4,FALSE)</f>
        <v/>
      </c>
      <c r="L14" s="63">
        <f>K14+J14</f>
        <v/>
      </c>
      <c r="M14" s="26" t="n"/>
      <c r="N14" s="26" t="n"/>
      <c r="O14" s="26" t="n"/>
    </row>
    <row r="15">
      <c r="A15" s="18" t="inlineStr">
        <is>
          <t>所在货站</t>
        </is>
      </c>
      <c r="B15" s="46" t="inlineStr">
        <is>
          <t>深圳坂田仓库</t>
        </is>
      </c>
      <c r="C15" s="60" t="n"/>
      <c r="D15" s="60" t="n"/>
      <c r="E15" s="41" t="inlineStr">
        <is>
          <t>亚马逊上架总数量*
（必填）</t>
        </is>
      </c>
      <c r="F15" s="42" t="n"/>
      <c r="G15" s="60" t="n"/>
      <c r="H15" s="61" t="n"/>
      <c r="I15" s="26" t="n"/>
      <c r="J15" s="26" t="n"/>
      <c r="K15" s="26" t="n"/>
      <c r="L15" s="26" t="n"/>
      <c r="M15" s="26" t="n"/>
      <c r="N15" s="26" t="n"/>
      <c r="O15" s="26" t="n"/>
    </row>
    <row r="16" ht="12.4" customHeight="1">
      <c r="A16" s="18" t="inlineStr">
        <is>
          <t>箱数*</t>
        </is>
      </c>
      <c r="B16" s="19" t="n">
        <v>43</v>
      </c>
      <c r="C16" s="60" t="n"/>
      <c r="D16" s="60" t="n"/>
      <c r="E16" s="18" t="n"/>
      <c r="F16" s="21" t="n"/>
      <c r="G16" s="60" t="n"/>
      <c r="H16" s="61" t="n"/>
      <c r="I16" s="22" t="n"/>
      <c r="J16" s="26" t="n"/>
      <c r="K16" s="26" t="n"/>
      <c r="L16" s="26" t="n"/>
      <c r="M16" s="26" t="n"/>
      <c r="N16" s="26" t="n"/>
      <c r="O16" s="26" t="n"/>
    </row>
    <row r="17" ht="28" customFormat="1" customHeight="1" s="16">
      <c r="A17" s="48" t="inlineStr">
        <is>
          <t>货箱编号*</t>
        </is>
      </c>
      <c r="B17" s="48" t="inlineStr">
        <is>
          <t>PO Number*</t>
        </is>
      </c>
      <c r="C17" s="49" t="inlineStr">
        <is>
          <t>货箱重量(KG)</t>
        </is>
      </c>
      <c r="D17" s="49" t="inlineStr">
        <is>
          <t>货箱长度(CM)</t>
        </is>
      </c>
      <c r="E17" s="49" t="inlineStr">
        <is>
          <t>货箱宽度(CM)</t>
        </is>
      </c>
      <c r="F17" s="50" t="inlineStr">
        <is>
          <t>货箱高度(CM)</t>
        </is>
      </c>
      <c r="G17" s="48" t="inlineStr">
        <is>
          <t>产品英文品名*</t>
        </is>
      </c>
      <c r="H17" s="48" t="inlineStr">
        <is>
          <t>产品中文品名*</t>
        </is>
      </c>
      <c r="I17" s="48" t="inlineStr">
        <is>
          <t>产品申报单价*</t>
        </is>
      </c>
      <c r="J17" s="51" t="inlineStr">
        <is>
          <t>产品申报数量*
（单箱产品个数）</t>
        </is>
      </c>
      <c r="K17" s="52" t="inlineStr">
        <is>
          <t>产品材质*</t>
        </is>
      </c>
      <c r="L17" s="52" t="inlineStr">
        <is>
          <t>产品海关编码*</t>
        </is>
      </c>
      <c r="M17" s="52" t="inlineStr">
        <is>
          <t>产品用途*</t>
        </is>
      </c>
      <c r="N17" s="52" t="inlineStr">
        <is>
          <t>产品品牌*</t>
        </is>
      </c>
      <c r="O17" s="52" t="inlineStr">
        <is>
          <t>产品型号*</t>
        </is>
      </c>
      <c r="P17" s="52" t="inlineStr">
        <is>
          <t>产品图片*</t>
        </is>
      </c>
      <c r="Q17" s="52" t="inlineStr">
        <is>
          <t>产品销售链接*</t>
        </is>
      </c>
    </row>
    <row r="18" ht="50" customHeight="1">
      <c r="A18" s="53" t="inlineStr">
        <is>
          <t>FBA198K5M2F7U000001-43</t>
        </is>
      </c>
      <c r="B18" s="54" t="inlineStr">
        <is>
          <t>4D8Z6U5Y</t>
        </is>
      </c>
      <c r="C18" t="n">
        <v>7</v>
      </c>
      <c r="D18" t="n">
        <v>107</v>
      </c>
      <c r="E18" t="n">
        <v>25</v>
      </c>
      <c r="F18" t="n">
        <v>23</v>
      </c>
      <c r="G18" s="55" t="inlineStr">
        <is>
          <t>Air Curtain</t>
        </is>
      </c>
      <c r="H18" s="55" t="inlineStr">
        <is>
          <t>风幕机</t>
        </is>
      </c>
      <c r="I18" t="n">
        <v>35</v>
      </c>
      <c r="J18" t="n">
        <v>1</v>
      </c>
      <c r="K18" s="55" t="inlineStr">
        <is>
          <t>铁＋塑料</t>
        </is>
      </c>
      <c r="L18" s="56" t="n">
        <v>8414599099</v>
      </c>
      <c r="M18" t="inlineStr">
        <is>
          <t>通风</t>
        </is>
      </c>
      <c r="N18" s="56" t="inlineStr">
        <is>
          <t>N/A</t>
        </is>
      </c>
      <c r="O18" s="56" t="inlineStr">
        <is>
          <t>N/A</t>
        </is>
      </c>
      <c r="Q18" t="n">
        <v>1</v>
      </c>
    </row>
    <row r="19" ht="50" customHeight="1">
      <c r="A19" s="57" t="n"/>
      <c r="B19" s="57" t="n"/>
      <c r="C19" s="58" t="n"/>
      <c r="D19" s="58" t="n"/>
      <c r="E19" s="58" t="n"/>
      <c r="F19" s="58" t="n"/>
      <c r="G19" s="58" t="n"/>
      <c r="H19" s="58" t="n"/>
      <c r="I19" s="58" t="n"/>
      <c r="J19" s="58" t="n"/>
      <c r="K19" s="58" t="n"/>
      <c r="L19" s="58" t="n"/>
      <c r="M19" s="58" t="n"/>
      <c r="N19" s="58" t="n"/>
      <c r="O19" s="58" t="n"/>
      <c r="P19" s="58" t="n"/>
      <c r="Q19" s="58" t="n"/>
    </row>
    <row r="20" ht="50" customHeight="1">
      <c r="A20" s="57" t="n"/>
      <c r="B20" s="58" t="n"/>
      <c r="C20" s="58" t="n"/>
      <c r="D20" s="58" t="n"/>
      <c r="E20" s="58" t="n"/>
      <c r="F20" s="58" t="n"/>
      <c r="G20" s="58" t="n"/>
      <c r="H20" s="58" t="n"/>
      <c r="I20" s="58" t="n"/>
      <c r="J20" s="58" t="n"/>
      <c r="K20" s="58" t="n"/>
      <c r="L20" s="58" t="n"/>
      <c r="M20" s="58" t="n"/>
      <c r="N20" s="58" t="n"/>
      <c r="O20" s="58" t="n"/>
      <c r="P20" s="58" t="n"/>
      <c r="Q20" s="58" t="n"/>
    </row>
    <row r="21" ht="50" customHeight="1">
      <c r="A21" s="57" t="n"/>
      <c r="B21" s="58" t="n"/>
      <c r="C21" s="58" t="n"/>
      <c r="D21" s="58" t="n"/>
      <c r="E21" s="58" t="n"/>
      <c r="F21" s="58" t="n"/>
      <c r="G21" s="58" t="n"/>
      <c r="H21" s="58" t="n"/>
      <c r="I21" s="58" t="n"/>
      <c r="J21" s="58" t="n"/>
      <c r="K21" s="58" t="n"/>
      <c r="L21" s="58" t="n"/>
      <c r="M21" s="58" t="n"/>
      <c r="N21" s="58" t="n"/>
      <c r="O21" s="58" t="n"/>
      <c r="P21" s="58" t="n"/>
      <c r="Q21" s="58" t="n"/>
    </row>
    <row r="22" ht="50" customHeight="1">
      <c r="A22" s="57" t="n"/>
      <c r="B22" s="58" t="n"/>
      <c r="C22" s="58" t="n"/>
      <c r="D22" s="58" t="n"/>
      <c r="E22" s="58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</row>
    <row r="23" ht="50" customHeight="1">
      <c r="A23" s="57" t="n"/>
      <c r="B23" s="58" t="n"/>
      <c r="C23" s="58" t="n"/>
      <c r="D23" s="58" t="n"/>
      <c r="E23" s="58" t="n"/>
      <c r="F23" s="58" t="n"/>
      <c r="G23" s="58" t="n"/>
      <c r="H23" s="58" t="n"/>
      <c r="I23" s="58" t="n"/>
      <c r="J23" s="58" t="n"/>
      <c r="K23" s="58" t="n"/>
      <c r="L23" s="58" t="n"/>
      <c r="M23" s="58" t="n"/>
      <c r="N23" s="58" t="n"/>
      <c r="O23" s="58" t="n"/>
      <c r="P23" s="58" t="n"/>
      <c r="Q23" s="58" t="n"/>
    </row>
    <row r="24" ht="50" customHeight="1">
      <c r="A24" s="57" t="n"/>
      <c r="B24" s="58" t="n"/>
      <c r="C24" s="58" t="n"/>
      <c r="D24" s="58" t="n"/>
      <c r="E24" s="58" t="n"/>
      <c r="F24" s="58" t="n"/>
      <c r="G24" s="58" t="n"/>
      <c r="H24" s="58" t="n"/>
      <c r="I24" s="58" t="n"/>
      <c r="J24" s="58" t="n"/>
      <c r="K24" s="58" t="n"/>
      <c r="L24" s="58" t="n"/>
      <c r="M24" s="58" t="n"/>
      <c r="N24" s="58" t="n"/>
      <c r="O24" s="58" t="n"/>
      <c r="P24" s="58" t="n"/>
      <c r="Q24" s="58" t="n"/>
    </row>
    <row r="25" ht="50" customHeight="1">
      <c r="A25" s="57" t="n"/>
      <c r="B25" s="58" t="n"/>
      <c r="C25" s="58" t="n"/>
      <c r="D25" s="58" t="n"/>
      <c r="E25" s="58" t="n"/>
      <c r="F25" s="58" t="n"/>
      <c r="G25" s="58" t="n"/>
      <c r="H25" s="58" t="n"/>
      <c r="I25" s="58" t="n"/>
      <c r="J25" s="58" t="n"/>
      <c r="K25" s="58" t="n"/>
      <c r="L25" s="58" t="n"/>
      <c r="M25" s="58" t="n"/>
      <c r="N25" s="58" t="n"/>
      <c r="O25" s="58" t="n"/>
      <c r="P25" s="58" t="n"/>
      <c r="Q25" s="58" t="n"/>
    </row>
    <row r="26" ht="50" customHeight="1">
      <c r="A26" s="57" t="n"/>
      <c r="B26" s="58" t="n"/>
      <c r="C26" s="58" t="n"/>
      <c r="D26" s="58" t="n"/>
      <c r="E26" s="58" t="n"/>
      <c r="F26" s="58" t="n"/>
      <c r="G26" s="58" t="n"/>
      <c r="H26" s="58" t="n"/>
      <c r="I26" s="58" t="n"/>
      <c r="J26" s="58" t="n"/>
      <c r="K26" s="58" t="n"/>
      <c r="L26" s="58" t="n"/>
      <c r="M26" s="58" t="n"/>
      <c r="N26" s="58" t="n"/>
      <c r="O26" s="58" t="n"/>
      <c r="P26" s="58" t="n"/>
      <c r="Q26" s="58" t="n"/>
    </row>
    <row r="27" ht="50" customHeight="1">
      <c r="A27" s="57" t="n"/>
      <c r="B27" s="58" t="n"/>
      <c r="C27" s="58" t="n"/>
      <c r="D27" s="58" t="n"/>
      <c r="E27" s="58" t="n"/>
      <c r="F27" s="58" t="n"/>
      <c r="G27" s="58" t="n"/>
      <c r="H27" s="58" t="n"/>
      <c r="I27" s="58" t="n"/>
      <c r="J27" s="58" t="n"/>
      <c r="K27" s="58" t="n"/>
      <c r="L27" s="58" t="n"/>
      <c r="M27" s="58" t="n"/>
      <c r="N27" s="58" t="n"/>
      <c r="O27" s="58" t="n"/>
      <c r="P27" s="58" t="n"/>
      <c r="Q27" s="58" t="n"/>
    </row>
    <row r="28" ht="50" customHeight="1">
      <c r="A28" s="57" t="n"/>
      <c r="B28" s="58" t="n"/>
      <c r="C28" s="58" t="n"/>
      <c r="D28" s="58" t="n"/>
      <c r="E28" s="58" t="n"/>
      <c r="F28" s="58" t="n"/>
      <c r="G28" s="58" t="n"/>
      <c r="H28" s="58" t="n"/>
      <c r="I28" s="58" t="n"/>
      <c r="J28" s="58" t="n"/>
      <c r="K28" s="58" t="n"/>
      <c r="L28" s="58" t="n"/>
      <c r="M28" s="58" t="n"/>
      <c r="N28" s="58" t="n"/>
      <c r="O28" s="58" t="n"/>
      <c r="P28" s="58" t="n"/>
      <c r="Q28" s="58" t="n"/>
    </row>
    <row r="29" ht="50" customHeight="1">
      <c r="A29" s="57" t="n"/>
      <c r="B29" s="58" t="n"/>
      <c r="C29" s="58" t="n"/>
      <c r="D29" s="58" t="n"/>
      <c r="E29" s="58" t="n"/>
      <c r="F29" s="58" t="n"/>
      <c r="G29" s="58" t="n"/>
      <c r="H29" s="58" t="n"/>
      <c r="I29" s="58" t="n"/>
      <c r="J29" s="58" t="n"/>
      <c r="K29" s="58" t="n"/>
      <c r="L29" s="58" t="n"/>
      <c r="M29" s="58" t="n"/>
      <c r="N29" s="58" t="n"/>
      <c r="O29" s="58" t="n"/>
      <c r="P29" s="58" t="n"/>
      <c r="Q29" s="58" t="n"/>
    </row>
    <row r="30" ht="50" customHeight="1">
      <c r="A30" s="57" t="n"/>
      <c r="B30" s="58" t="n"/>
      <c r="C30" s="58" t="n"/>
      <c r="D30" s="58" t="n"/>
      <c r="E30" s="58" t="n"/>
      <c r="F30" s="58" t="n"/>
      <c r="G30" s="58" t="n"/>
      <c r="H30" s="58" t="n"/>
      <c r="I30" s="58" t="n"/>
      <c r="J30" s="58" t="n"/>
      <c r="K30" s="58" t="n"/>
      <c r="L30" s="58" t="n"/>
      <c r="M30" s="58" t="n"/>
      <c r="N30" s="58" t="n"/>
      <c r="O30" s="58" t="n"/>
      <c r="P30" s="58" t="n"/>
      <c r="Q30" s="58" t="n"/>
    </row>
    <row r="31" ht="50" customHeight="1">
      <c r="A31" s="57" t="n"/>
      <c r="B31" s="58" t="n"/>
      <c r="C31" s="58" t="n"/>
      <c r="D31" s="58" t="n"/>
      <c r="E31" s="58" t="n"/>
      <c r="F31" s="58" t="n"/>
      <c r="G31" s="58" t="n"/>
      <c r="H31" s="58" t="n"/>
      <c r="I31" s="58" t="n"/>
      <c r="J31" s="58" t="n"/>
      <c r="K31" s="58" t="n"/>
      <c r="L31" s="58" t="n"/>
      <c r="M31" s="58" t="n"/>
      <c r="N31" s="58" t="n"/>
      <c r="O31" s="58" t="n"/>
      <c r="P31" s="58" t="n"/>
      <c r="Q31" s="58" t="n"/>
    </row>
    <row r="32" ht="50" customHeight="1">
      <c r="A32" s="57" t="n"/>
      <c r="B32" s="58" t="n"/>
      <c r="C32" s="58" t="n"/>
      <c r="D32" s="58" t="n"/>
      <c r="E32" s="58" t="n"/>
      <c r="F32" s="58" t="n"/>
      <c r="G32" s="58" t="n"/>
      <c r="H32" s="58" t="n"/>
      <c r="I32" s="58" t="n"/>
      <c r="J32" s="58" t="n"/>
      <c r="K32" s="58" t="n"/>
      <c r="L32" s="58" t="n"/>
      <c r="M32" s="58" t="n"/>
      <c r="N32" s="58" t="n"/>
      <c r="O32" s="58" t="n"/>
      <c r="P32" s="58" t="n"/>
      <c r="Q32" s="58" t="n"/>
    </row>
    <row r="33" ht="50" customHeight="1">
      <c r="A33" s="57" t="n"/>
      <c r="B33" s="58" t="n"/>
      <c r="C33" s="58" t="n"/>
      <c r="D33" s="58" t="n"/>
      <c r="E33" s="58" t="n"/>
      <c r="F33" s="58" t="n"/>
      <c r="G33" s="58" t="n"/>
      <c r="H33" s="58" t="n"/>
      <c r="I33" s="58" t="n"/>
      <c r="J33" s="58" t="n"/>
      <c r="K33" s="58" t="n"/>
      <c r="L33" s="58" t="n"/>
      <c r="M33" s="58" t="n"/>
      <c r="N33" s="58" t="n"/>
      <c r="O33" s="58" t="n"/>
      <c r="P33" s="58" t="n"/>
      <c r="Q33" s="58" t="n"/>
    </row>
    <row r="34" ht="50" customHeight="1">
      <c r="A34" s="57" t="n"/>
      <c r="B34" s="58" t="n"/>
      <c r="C34" s="58" t="n"/>
      <c r="D34" s="58" t="n"/>
      <c r="E34" s="58" t="n"/>
      <c r="F34" s="58" t="n"/>
      <c r="G34" s="58" t="n"/>
      <c r="H34" s="58" t="n"/>
      <c r="I34" s="58" t="n"/>
      <c r="J34" s="58" t="n"/>
      <c r="K34" s="58" t="n"/>
      <c r="L34" s="58" t="n"/>
      <c r="M34" s="58" t="n"/>
      <c r="N34" s="58" t="n"/>
      <c r="O34" s="58" t="n"/>
      <c r="P34" s="58" t="n"/>
      <c r="Q34" s="58" t="n"/>
    </row>
    <row r="35" ht="50" customHeight="1">
      <c r="A35" s="57" t="n"/>
      <c r="B35" s="58" t="n"/>
      <c r="C35" s="58" t="n"/>
      <c r="D35" s="58" t="n"/>
      <c r="E35" s="58" t="n"/>
      <c r="F35" s="58" t="n"/>
      <c r="G35" s="58" t="n"/>
      <c r="H35" s="58" t="n"/>
      <c r="I35" s="58" t="n"/>
      <c r="J35" s="58" t="n"/>
      <c r="K35" s="58" t="n"/>
      <c r="L35" s="58" t="n"/>
      <c r="M35" s="58" t="n"/>
      <c r="N35" s="58" t="n"/>
      <c r="O35" s="58" t="n"/>
      <c r="P35" s="58" t="n"/>
      <c r="Q35" s="58" t="n"/>
    </row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  <row r="47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6106194690269" defaultRowHeight="13.85" outlineLevelRow="4"/>
  <sheetData>
    <row r="1">
      <c r="A1" s="11" t="inlineStr">
        <is>
          <t>买单报关</t>
        </is>
      </c>
    </row>
    <row r="2">
      <c r="A2" s="11" t="inlineStr">
        <is>
          <t>报关退税</t>
        </is>
      </c>
    </row>
    <row r="3">
      <c r="A3" s="11" t="inlineStr">
        <is>
          <t>普通报关</t>
        </is>
      </c>
    </row>
    <row r="4">
      <c r="A4" s="11" t="n">
        <v>9710</v>
      </c>
    </row>
    <row r="5">
      <c r="A5" s="11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6106194690269" defaultRowHeight="13.85"/>
  <cols>
    <col width="29.212389380531" customWidth="1" style="11" min="1" max="1"/>
    <col width="10.8761061946903" customWidth="1" style="11" min="2" max="2"/>
    <col width="8.876106194690269" customWidth="1" style="11" min="3" max="16384"/>
  </cols>
  <sheetData>
    <row r="1">
      <c r="A1" s="12" t="inlineStr">
        <is>
          <t>渠道名称</t>
        </is>
      </c>
      <c r="B1" s="11" t="inlineStr">
        <is>
          <t>板块</t>
        </is>
      </c>
    </row>
    <row r="2">
      <c r="A2" s="11" t="inlineStr">
        <is>
          <t>丰速达16T卡派</t>
        </is>
      </c>
      <c r="B2" s="11" t="inlineStr">
        <is>
          <t>美国海运</t>
        </is>
      </c>
    </row>
    <row r="3">
      <c r="A3" s="11" t="inlineStr">
        <is>
          <t>丰速达16T自税卡派</t>
        </is>
      </c>
      <c r="B3" s="11" t="inlineStr">
        <is>
          <t>美国海运</t>
        </is>
      </c>
    </row>
    <row r="4">
      <c r="A4" s="11" t="inlineStr">
        <is>
          <t>丰速达16T快递派</t>
        </is>
      </c>
      <c r="B4" s="11" t="inlineStr">
        <is>
          <t>美国海运</t>
        </is>
      </c>
    </row>
    <row r="5">
      <c r="A5" s="11" t="inlineStr">
        <is>
          <t>丰速达18T卡派</t>
        </is>
      </c>
      <c r="B5" s="11" t="inlineStr">
        <is>
          <t>美国海运</t>
        </is>
      </c>
    </row>
    <row r="6">
      <c r="A6" s="11" t="inlineStr">
        <is>
          <t>丰速达18T自税卡派</t>
        </is>
      </c>
      <c r="B6" s="11" t="inlineStr">
        <is>
          <t>美国海运</t>
        </is>
      </c>
    </row>
    <row r="7">
      <c r="A7" s="11" t="inlineStr">
        <is>
          <t>丰速达18T快递派</t>
        </is>
      </c>
      <c r="B7" s="11" t="inlineStr">
        <is>
          <t>美国海运</t>
        </is>
      </c>
    </row>
    <row r="8">
      <c r="A8" s="11" t="inlineStr">
        <is>
          <t>丰速达20T卡派</t>
        </is>
      </c>
      <c r="B8" s="11" t="inlineStr">
        <is>
          <t>美国海运</t>
        </is>
      </c>
    </row>
    <row r="9">
      <c r="A9" s="11" t="inlineStr">
        <is>
          <t>丰速达20T自税卡派</t>
        </is>
      </c>
      <c r="B9" s="11" t="inlineStr">
        <is>
          <t>美国海运</t>
        </is>
      </c>
    </row>
    <row r="10">
      <c r="A10" s="11" t="inlineStr">
        <is>
          <t>丰速达20T快递派</t>
        </is>
      </c>
      <c r="B10" s="11" t="inlineStr">
        <is>
          <t>美国海运</t>
        </is>
      </c>
    </row>
    <row r="11">
      <c r="A11" s="11" t="inlineStr">
        <is>
          <t>普船特惠卡派</t>
        </is>
      </c>
      <c r="B11" s="11" t="inlineStr">
        <is>
          <t>美国海运</t>
        </is>
      </c>
    </row>
    <row r="12">
      <c r="A12" s="11" t="inlineStr">
        <is>
          <t>纽约普船卡派</t>
        </is>
      </c>
      <c r="B12" s="11" t="inlineStr">
        <is>
          <t>美国海运</t>
        </is>
      </c>
    </row>
    <row r="13" ht="13.9" customHeight="1">
      <c r="A13" s="13" t="inlineStr">
        <is>
          <t>纽约经济卡派</t>
        </is>
      </c>
      <c r="B13" s="11" t="inlineStr">
        <is>
          <t>美国海运</t>
        </is>
      </c>
    </row>
    <row r="14">
      <c r="A14" s="11" t="inlineStr">
        <is>
          <t>奥克兰普船卡派</t>
        </is>
      </c>
      <c r="B14" s="11" t="inlineStr">
        <is>
          <t>美国海运</t>
        </is>
      </c>
    </row>
    <row r="15">
      <c r="A15" s="11" t="inlineStr">
        <is>
          <t>萨凡纳普船卡派</t>
        </is>
      </c>
      <c r="B15" s="11" t="inlineStr">
        <is>
          <t>美国海运</t>
        </is>
      </c>
    </row>
    <row r="16">
      <c r="A16" s="11" t="inlineStr">
        <is>
          <t>芝加哥普船卡派</t>
        </is>
      </c>
      <c r="B16" s="11" t="inlineStr">
        <is>
          <t>美国海运</t>
        </is>
      </c>
    </row>
    <row r="17">
      <c r="A17" s="11" t="inlineStr">
        <is>
          <t>休斯顿普船卡派</t>
        </is>
      </c>
      <c r="B17" s="11" t="inlineStr">
        <is>
          <t>美国海运</t>
        </is>
      </c>
    </row>
    <row r="18">
      <c r="A18" s="11" t="inlineStr">
        <is>
          <t>美森CLX正班UPS</t>
        </is>
      </c>
      <c r="B18" s="11" t="inlineStr">
        <is>
          <t>美国海运</t>
        </is>
      </c>
    </row>
    <row r="19">
      <c r="A19" s="11" t="inlineStr">
        <is>
          <t>美森CLX正班卡派</t>
        </is>
      </c>
      <c r="B19" s="11" t="inlineStr">
        <is>
          <t>美国海运</t>
        </is>
      </c>
    </row>
    <row r="20">
      <c r="A20" s="11" t="inlineStr">
        <is>
          <t>美森加班UPS</t>
        </is>
      </c>
      <c r="B20" s="11" t="inlineStr">
        <is>
          <t>美国海运</t>
        </is>
      </c>
    </row>
    <row r="21">
      <c r="A21" s="11" t="inlineStr">
        <is>
          <t>美森加班卡派</t>
        </is>
      </c>
      <c r="B21" s="11" t="inlineStr">
        <is>
          <t>美国海运</t>
        </is>
      </c>
    </row>
    <row r="22">
      <c r="A22" s="11" t="inlineStr">
        <is>
          <t>EXX快船UPS</t>
        </is>
      </c>
      <c r="B22" s="11" t="inlineStr">
        <is>
          <t>美国海运</t>
        </is>
      </c>
    </row>
    <row r="23">
      <c r="A23" s="11" t="inlineStr">
        <is>
          <t>EXX快船卡派</t>
        </is>
      </c>
      <c r="B23" s="11" t="inlineStr">
        <is>
          <t>美国海运</t>
        </is>
      </c>
    </row>
    <row r="24">
      <c r="A24" s="11" t="inlineStr">
        <is>
          <t>美森加班限时达UPS</t>
        </is>
      </c>
      <c r="B24" s="11" t="inlineStr">
        <is>
          <t>美国海运</t>
        </is>
      </c>
    </row>
    <row r="25">
      <c r="A25" s="11" t="inlineStr">
        <is>
          <t>美森加班限时达卡派</t>
        </is>
      </c>
      <c r="B25" s="11" t="inlineStr">
        <is>
          <t>美国海运</t>
        </is>
      </c>
    </row>
    <row r="26">
      <c r="A26" s="11" t="inlineStr">
        <is>
          <t>美森限时达海派（UPS派送）</t>
        </is>
      </c>
      <c r="B26" s="11" t="inlineStr">
        <is>
          <t>美国海运</t>
        </is>
      </c>
    </row>
    <row r="27">
      <c r="A27" s="11" t="inlineStr">
        <is>
          <t>美森限时达卡派（卡车派送）</t>
        </is>
      </c>
      <c r="B27" s="11" t="inlineStr">
        <is>
          <t>美国海运</t>
        </is>
      </c>
    </row>
    <row r="28">
      <c r="A28" s="11" t="inlineStr">
        <is>
          <t>以星限时达UPS</t>
        </is>
      </c>
      <c r="B28" s="11" t="inlineStr">
        <is>
          <t>美国海运</t>
        </is>
      </c>
    </row>
    <row r="29">
      <c r="A29" s="11" t="inlineStr">
        <is>
          <t>以星限时达卡派</t>
        </is>
      </c>
      <c r="B29" s="11" t="inlineStr">
        <is>
          <t>美国海运</t>
        </is>
      </c>
    </row>
    <row r="30">
      <c r="A30" s="11" t="inlineStr">
        <is>
          <t>合德限时达UPS</t>
        </is>
      </c>
      <c r="B30" s="11" t="inlineStr">
        <is>
          <t>美国海运</t>
        </is>
      </c>
    </row>
    <row r="31">
      <c r="A31" s="11" t="inlineStr">
        <is>
          <t>合德限时达卡派</t>
        </is>
      </c>
      <c r="B31" s="11" t="inlineStr">
        <is>
          <t>美国海运</t>
        </is>
      </c>
    </row>
    <row r="32">
      <c r="A32" s="11" t="inlineStr">
        <is>
          <t>普船卡派私人地址</t>
        </is>
      </c>
      <c r="B32" s="11" t="inlineStr">
        <is>
          <t>美国海运</t>
        </is>
      </c>
    </row>
    <row r="33">
      <c r="A33" s="11" t="inlineStr">
        <is>
          <t>美国纯电海运（快递）</t>
        </is>
      </c>
      <c r="B33" s="11" t="inlineStr">
        <is>
          <t>美国海运</t>
        </is>
      </c>
    </row>
    <row r="34">
      <c r="A34" s="11" t="inlineStr">
        <is>
          <t>美国美东纯电海运卡派</t>
        </is>
      </c>
      <c r="B34" s="11" t="inlineStr">
        <is>
          <t>美国海运</t>
        </is>
      </c>
    </row>
    <row r="35">
      <c r="A35" s="11" t="inlineStr">
        <is>
          <t>美国美西纯电海运卡派</t>
        </is>
      </c>
      <c r="B35" s="11" t="inlineStr">
        <is>
          <t>美国海运</t>
        </is>
      </c>
    </row>
    <row r="36">
      <c r="A36" s="14" t="inlineStr">
        <is>
          <t>上海UPS红单包税</t>
        </is>
      </c>
      <c r="B36" s="14" t="inlineStr">
        <is>
          <t>美国快递</t>
        </is>
      </c>
    </row>
    <row r="37">
      <c r="A37" s="11" t="inlineStr">
        <is>
          <t>UPS红单特价</t>
        </is>
      </c>
      <c r="B37" s="11" t="inlineStr">
        <is>
          <t>美国快递</t>
        </is>
      </c>
    </row>
    <row r="38">
      <c r="A38" s="14" t="inlineStr">
        <is>
          <t>UPS红单包税</t>
        </is>
      </c>
      <c r="B38" s="14" t="inlineStr">
        <is>
          <t>美国快递</t>
        </is>
      </c>
    </row>
    <row r="39">
      <c r="A39" s="11" t="inlineStr">
        <is>
          <t>UPS红单特快</t>
        </is>
      </c>
      <c r="B39" s="11" t="inlineStr">
        <is>
          <t>美国快递</t>
        </is>
      </c>
    </row>
    <row r="40">
      <c r="A40" s="11" t="inlineStr">
        <is>
          <t>香港UPS红单特快</t>
        </is>
      </c>
      <c r="B40" s="11" t="inlineStr">
        <is>
          <t>美国快递</t>
        </is>
      </c>
    </row>
    <row r="41">
      <c r="A41" s="14" t="inlineStr">
        <is>
          <t>香港UPS红单特快包税</t>
        </is>
      </c>
      <c r="B41" s="14" t="inlineStr">
        <is>
          <t>美国快递</t>
        </is>
      </c>
    </row>
    <row r="42">
      <c r="A42" s="11" t="inlineStr">
        <is>
          <t>联邦快递-IE</t>
        </is>
      </c>
      <c r="B42" s="11" t="inlineStr">
        <is>
          <t>美国快递</t>
        </is>
      </c>
    </row>
    <row r="43">
      <c r="A43" s="11" t="inlineStr">
        <is>
          <t>联邦快递-IP</t>
        </is>
      </c>
      <c r="B43" s="11" t="inlineStr">
        <is>
          <t>美国快递</t>
        </is>
      </c>
    </row>
    <row r="44">
      <c r="A44" s="11" t="inlineStr">
        <is>
          <t>香港DHL</t>
        </is>
      </c>
      <c r="B44" s="11" t="inlineStr">
        <is>
          <t>美国快递</t>
        </is>
      </c>
    </row>
    <row r="45">
      <c r="A45" s="11" t="inlineStr">
        <is>
          <t>香港UPS红单</t>
        </is>
      </c>
      <c r="B45" s="11" t="inlineStr">
        <is>
          <t>美国快递</t>
        </is>
      </c>
    </row>
    <row r="46">
      <c r="A46" s="14" t="inlineStr">
        <is>
          <t>香港UPS红单包税</t>
        </is>
      </c>
      <c r="B46" s="14" t="inlineStr">
        <is>
          <t>美国快递</t>
        </is>
      </c>
    </row>
    <row r="47">
      <c r="A47" s="11" t="inlineStr">
        <is>
          <t>香港联邦快递</t>
        </is>
      </c>
      <c r="B47" s="11" t="inlineStr">
        <is>
          <t>美国快递</t>
        </is>
      </c>
    </row>
    <row r="48">
      <c r="A48" s="11" t="inlineStr">
        <is>
          <t>加拿大UPS红单包税</t>
        </is>
      </c>
      <c r="B48" s="11" t="inlineStr">
        <is>
          <t>快递</t>
        </is>
      </c>
    </row>
    <row r="49">
      <c r="A49" s="11" t="inlineStr">
        <is>
          <t>美国大陆直飞空派</t>
        </is>
      </c>
      <c r="B49" s="11" t="inlineStr">
        <is>
          <t>美国空运</t>
        </is>
      </c>
    </row>
    <row r="50">
      <c r="A50" s="11" t="inlineStr">
        <is>
          <t>美国香港直飞空派</t>
        </is>
      </c>
      <c r="B50" s="11" t="inlineStr">
        <is>
          <t>美国空运</t>
        </is>
      </c>
    </row>
    <row r="51">
      <c r="A51" s="11" t="inlineStr">
        <is>
          <t>欧洲空派限时达</t>
        </is>
      </c>
      <c r="B51" s="11" t="inlineStr">
        <is>
          <t>欧洲空派</t>
        </is>
      </c>
    </row>
    <row r="52">
      <c r="A52" s="11" t="inlineStr">
        <is>
          <t>欧洲空派包税</t>
        </is>
      </c>
      <c r="B52" s="11" t="inlineStr">
        <is>
          <t>欧洲空派</t>
        </is>
      </c>
    </row>
    <row r="53">
      <c r="A53" s="11" t="inlineStr">
        <is>
          <t>欧洲空派自税VAT</t>
        </is>
      </c>
      <c r="B53" s="11" t="inlineStr">
        <is>
          <t>欧洲空派</t>
        </is>
      </c>
    </row>
    <row r="54">
      <c r="A54" s="11" t="inlineStr">
        <is>
          <t>英国空派限时达</t>
        </is>
      </c>
      <c r="B54" s="11" t="inlineStr">
        <is>
          <t>欧洲空派</t>
        </is>
      </c>
    </row>
    <row r="55">
      <c r="A55" s="11" t="inlineStr">
        <is>
          <t>英国空派包税</t>
        </is>
      </c>
      <c r="B55" s="11" t="inlineStr">
        <is>
          <t>欧洲空派</t>
        </is>
      </c>
    </row>
    <row r="56">
      <c r="A56" s="11" t="inlineStr">
        <is>
          <t>英国空派自税递延</t>
        </is>
      </c>
      <c r="B56" s="11" t="inlineStr">
        <is>
          <t>欧洲空派</t>
        </is>
      </c>
    </row>
    <row r="57">
      <c r="A57" s="11" t="inlineStr">
        <is>
          <t>欧洲海运包税</t>
        </is>
      </c>
      <c r="B57" s="11" t="inlineStr">
        <is>
          <t>欧线</t>
        </is>
      </c>
    </row>
    <row r="58">
      <c r="A58" s="11" t="inlineStr">
        <is>
          <t>欧洲海运卡派BS</t>
        </is>
      </c>
      <c r="B58" s="11" t="inlineStr">
        <is>
          <t>欧线</t>
        </is>
      </c>
    </row>
    <row r="59">
      <c r="A59" s="11" t="inlineStr">
        <is>
          <t>欧洲海运卡派递延</t>
        </is>
      </c>
      <c r="B59" s="11" t="inlineStr">
        <is>
          <t>欧线</t>
        </is>
      </c>
    </row>
    <row r="60">
      <c r="A60" s="11" t="inlineStr">
        <is>
          <t>欧洲海运自税递延</t>
        </is>
      </c>
      <c r="B60" s="11" t="inlineStr">
        <is>
          <t>欧线</t>
        </is>
      </c>
    </row>
    <row r="61">
      <c r="A61" s="11" t="inlineStr">
        <is>
          <t>英国海运含税专线</t>
        </is>
      </c>
      <c r="B61" s="11" t="inlineStr">
        <is>
          <t>欧线</t>
        </is>
      </c>
    </row>
    <row r="62">
      <c r="A62" s="11" t="inlineStr">
        <is>
          <t>英国海运卡派DY</t>
        </is>
      </c>
      <c r="B62" s="11" t="inlineStr">
        <is>
          <t>欧线</t>
        </is>
      </c>
    </row>
    <row r="63">
      <c r="A63" s="11" t="inlineStr">
        <is>
          <t>英国海运卡派BS</t>
        </is>
      </c>
      <c r="B63" s="11" t="inlineStr">
        <is>
          <t>欧线</t>
        </is>
      </c>
    </row>
    <row r="64">
      <c r="A64" s="11" t="inlineStr">
        <is>
          <t>英国海运自有VAT</t>
        </is>
      </c>
      <c r="B64" s="11" t="inlineStr">
        <is>
          <t>欧线</t>
        </is>
      </c>
    </row>
    <row r="65">
      <c r="A65" s="11" t="inlineStr">
        <is>
          <t>英国铁路包税专线</t>
        </is>
      </c>
      <c r="B65" s="11" t="inlineStr">
        <is>
          <t>欧线</t>
        </is>
      </c>
    </row>
    <row r="66">
      <c r="A66" s="11" t="inlineStr">
        <is>
          <t>英国铁路自税递延</t>
        </is>
      </c>
      <c r="B66" s="11" t="inlineStr">
        <is>
          <t>欧线</t>
        </is>
      </c>
    </row>
    <row r="67">
      <c r="A67" s="11" t="inlineStr">
        <is>
          <t>英国铁路自税专线</t>
        </is>
      </c>
      <c r="B67" s="11" t="inlineStr">
        <is>
          <t>欧线</t>
        </is>
      </c>
    </row>
    <row r="68">
      <c r="A68" s="11" t="inlineStr">
        <is>
          <t>中欧铁路快递派</t>
        </is>
      </c>
      <c r="B68" s="11" t="inlineStr">
        <is>
          <t>欧线</t>
        </is>
      </c>
    </row>
    <row r="69">
      <c r="A69" s="15" t="inlineStr">
        <is>
          <t>中欧铁路限时达快递派</t>
        </is>
      </c>
      <c r="B69" s="15" t="inlineStr">
        <is>
          <t>欧线</t>
        </is>
      </c>
    </row>
    <row r="70">
      <c r="A70" s="11" t="inlineStr">
        <is>
          <t>中欧铁路卡派递延</t>
        </is>
      </c>
      <c r="B70" s="11" t="inlineStr">
        <is>
          <t>欧线</t>
        </is>
      </c>
    </row>
    <row r="71">
      <c r="A71" s="11" t="inlineStr">
        <is>
          <t>中欧铁路卡派</t>
        </is>
      </c>
      <c r="B71" s="11" t="inlineStr">
        <is>
          <t>欧线</t>
        </is>
      </c>
    </row>
    <row r="72">
      <c r="A72" s="11" t="inlineStr">
        <is>
          <t>英国卡航包税</t>
        </is>
      </c>
      <c r="B72" s="11" t="inlineStr">
        <is>
          <t>卡航</t>
        </is>
      </c>
    </row>
    <row r="73">
      <c r="A73" s="11" t="inlineStr">
        <is>
          <t>英国卡航不包税</t>
        </is>
      </c>
      <c r="B73" s="11" t="inlineStr">
        <is>
          <t>卡航</t>
        </is>
      </c>
    </row>
    <row r="74">
      <c r="A74" s="11" t="inlineStr">
        <is>
          <t>中欧卡航VAT-递延</t>
        </is>
      </c>
      <c r="B74" s="11" t="inlineStr">
        <is>
          <t>卡航</t>
        </is>
      </c>
    </row>
    <row r="75">
      <c r="A75" s="11" t="inlineStr">
        <is>
          <t>中欧卡航包税专线</t>
        </is>
      </c>
      <c r="B75" s="11" t="inlineStr">
        <is>
          <t>卡航</t>
        </is>
      </c>
    </row>
    <row r="76">
      <c r="A76" s="11" t="inlineStr">
        <is>
          <t>中欧卡航卡派直送</t>
        </is>
      </c>
      <c r="B76" s="11" t="inlineStr">
        <is>
          <t>卡航</t>
        </is>
      </c>
    </row>
    <row r="77">
      <c r="A77" s="11" t="inlineStr">
        <is>
          <t>中欧卡航卡派直送递延</t>
        </is>
      </c>
      <c r="B77" s="11" t="inlineStr">
        <is>
          <t>卡航</t>
        </is>
      </c>
    </row>
    <row r="78">
      <c r="A78" s="11" t="inlineStr">
        <is>
          <t>加拿大直飞专线</t>
        </is>
      </c>
      <c r="B78" s="11" t="inlineStr">
        <is>
          <t>加拿大空运</t>
        </is>
      </c>
    </row>
    <row r="79">
      <c r="A79" s="11" t="inlineStr">
        <is>
          <t>美转加美森正班卡派</t>
        </is>
      </c>
      <c r="B79" s="11" t="inlineStr">
        <is>
          <t>加拿大海运</t>
        </is>
      </c>
    </row>
    <row r="80">
      <c r="A80" s="11" t="inlineStr">
        <is>
          <t>美转加美森正班UPS</t>
        </is>
      </c>
      <c r="B80" s="11" t="inlineStr">
        <is>
          <t>加拿大海运</t>
        </is>
      </c>
    </row>
    <row r="81">
      <c r="A81" s="11" t="inlineStr">
        <is>
          <t>美转加美森加班卡派</t>
        </is>
      </c>
      <c r="B81" s="11" t="inlineStr">
        <is>
          <t>加拿大海运</t>
        </is>
      </c>
    </row>
    <row r="82">
      <c r="A82" s="11" t="inlineStr">
        <is>
          <t>美转加美森加班UPS</t>
        </is>
      </c>
      <c r="B82" s="11" t="inlineStr">
        <is>
          <t>加拿大海运</t>
        </is>
      </c>
    </row>
    <row r="83">
      <c r="A83" s="11" t="inlineStr">
        <is>
          <t>美转加快提卡派</t>
        </is>
      </c>
      <c r="B83" s="11" t="inlineStr">
        <is>
          <t>加拿大海运</t>
        </is>
      </c>
    </row>
    <row r="84">
      <c r="A84" s="11" t="inlineStr">
        <is>
          <t>美转加快提UPS</t>
        </is>
      </c>
      <c r="B84" s="11" t="inlineStr">
        <is>
          <t>加拿大海运</t>
        </is>
      </c>
    </row>
    <row r="85">
      <c r="A85" s="11" t="inlineStr">
        <is>
          <t>美转加定提卡派</t>
        </is>
      </c>
      <c r="B85" s="11" t="inlineStr">
        <is>
          <t>加拿大海运</t>
        </is>
      </c>
    </row>
    <row r="86">
      <c r="A86" s="11" t="inlineStr">
        <is>
          <t>美转加定提UPS</t>
        </is>
      </c>
      <c r="B86" s="11" t="inlineStr">
        <is>
          <t>加拿大海运</t>
        </is>
      </c>
    </row>
    <row r="87">
      <c r="A87" s="11" t="inlineStr">
        <is>
          <t>加拿大直航普船卡派</t>
        </is>
      </c>
      <c r="B87" s="11" t="inlineStr">
        <is>
          <t>加拿大海运</t>
        </is>
      </c>
    </row>
    <row r="88">
      <c r="A88" s="11" t="inlineStr">
        <is>
          <t>加拿大直航普船UPS</t>
        </is>
      </c>
      <c r="B88" s="11" t="inlineStr">
        <is>
          <t>加拿大海运</t>
        </is>
      </c>
    </row>
    <row r="89">
      <c r="A89" s="11" t="inlineStr">
        <is>
          <t>加拿大直航普船特惠卡派</t>
        </is>
      </c>
      <c r="B89" s="11" t="inlineStr">
        <is>
          <t>加拿大海运</t>
        </is>
      </c>
    </row>
    <row r="90" ht="14" customHeight="1">
      <c r="A90" s="11" t="inlineStr">
        <is>
          <t>澳大利亚空派不包税</t>
        </is>
      </c>
      <c r="B90" s="11" t="inlineStr">
        <is>
          <t>澳大利亚</t>
        </is>
      </c>
    </row>
    <row r="91">
      <c r="A91" s="11" t="inlineStr">
        <is>
          <t>澳大利亚空派私人地址双清包税</t>
        </is>
      </c>
      <c r="B91" s="11" t="inlineStr">
        <is>
          <t>澳大利亚</t>
        </is>
      </c>
    </row>
    <row r="92">
      <c r="A92" s="11" t="inlineStr">
        <is>
          <t>澳洲普货FBA海外仓双清含税</t>
        </is>
      </c>
      <c r="B92" s="11" t="inlineStr">
        <is>
          <t>澳大利亚</t>
        </is>
      </c>
    </row>
    <row r="93">
      <c r="A93" s="11" t="inlineStr">
        <is>
          <t>澳大利亚空派FBA普货含税</t>
        </is>
      </c>
      <c r="B93" s="11" t="inlineStr">
        <is>
          <t>澳大利亚</t>
        </is>
      </c>
    </row>
    <row r="94">
      <c r="A94" s="11" t="inlineStr">
        <is>
          <t>墨西哥双清包税按方卡派</t>
        </is>
      </c>
      <c r="B94" s="11" t="inlineStr">
        <is>
          <t>墨西哥</t>
        </is>
      </c>
    </row>
    <row r="95">
      <c r="A95" s="11" t="inlineStr">
        <is>
          <t>墨西哥双清包税卡派</t>
        </is>
      </c>
      <c r="B95" s="11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3.85"/>
  <cols>
    <col width="12.6283185840708" customWidth="1" min="1" max="4"/>
    <col width="23.8761061946903" customWidth="1" min="5" max="5"/>
    <col width="11.5044247787611" customWidth="1" min="6" max="6"/>
    <col width="8.876106194690269" customWidth="1" min="7" max="7"/>
    <col width="54.3716814159292" customWidth="1" min="8" max="8"/>
    <col width="7" customWidth="1" min="9" max="10"/>
    <col width="18.2477876106195" customWidth="1" min="11" max="11"/>
    <col width="22.3716814159292" customWidth="1" min="12" max="12"/>
    <col width="5.87610619469027" customWidth="1" min="13" max="13"/>
    <col width="11.5044247787611" customWidth="1" style="64" min="14" max="14"/>
  </cols>
  <sheetData>
    <row r="1" ht="27" customHeight="1">
      <c r="A1" s="7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64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9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64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64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64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64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64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64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64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64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64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64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64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64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64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64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64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64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64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64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64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64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64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64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64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64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64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64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64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64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64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64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64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64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64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64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64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64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64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64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64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64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64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64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64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64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64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64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64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64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64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64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64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64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64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64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64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64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64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64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64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64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64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64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64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64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64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64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64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64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64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64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64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64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64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64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64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64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64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64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64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64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64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64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64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64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64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64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64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64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64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64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64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64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64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64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64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64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64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64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64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64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64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64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64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64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64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64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64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64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64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64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64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64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64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64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64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64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64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64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64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64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64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64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64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64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64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64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64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64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64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64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64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64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64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64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64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64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64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64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64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64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64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64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64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64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64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64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64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64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64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64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64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64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64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64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64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64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64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64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64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64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64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64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64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64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64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64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64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64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64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64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64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64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64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64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64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64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64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64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64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64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64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64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64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64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64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64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64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64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64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64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64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64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64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64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64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64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64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64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64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64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64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64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64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64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64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64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64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64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64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64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64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64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64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64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64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64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64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64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64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64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64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64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64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64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64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64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64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64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64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64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64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64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64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64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64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64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64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64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64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64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64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64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64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64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64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64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64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64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64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64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64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64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64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64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64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64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64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64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64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64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64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64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64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64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64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64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64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64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64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64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64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64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64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64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64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64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64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64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64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64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64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64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64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64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64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64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64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64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64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64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64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64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64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64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64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64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64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64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64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64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64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64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64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64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64" t="inlineStr">
        <is>
          <t>28134</t>
        </is>
      </c>
    </row>
    <row r="309">
      <c r="A309" s="10" t="inlineStr">
        <is>
          <t>MCI3</t>
        </is>
      </c>
      <c r="B309" s="10" t="inlineStr">
        <is>
          <t>MCI3</t>
        </is>
      </c>
      <c r="C309" s="10" t="inlineStr">
        <is>
          <t>MCI3</t>
        </is>
      </c>
      <c r="D309" s="10" t="inlineStr">
        <is>
          <t>MCI3</t>
        </is>
      </c>
      <c r="F309" t="inlineStr">
        <is>
          <t>1234567890</t>
        </is>
      </c>
      <c r="H309" s="10" t="inlineStr">
        <is>
          <t>2361 S Withers Rd</t>
        </is>
      </c>
      <c r="K309" s="10" t="inlineStr">
        <is>
          <t>Liberty</t>
        </is>
      </c>
      <c r="L309" s="10" t="inlineStr">
        <is>
          <t>MO</t>
        </is>
      </c>
      <c r="M309" t="inlineStr">
        <is>
          <t>US</t>
        </is>
      </c>
      <c r="N309" s="10" t="inlineStr">
        <is>
          <t>64068</t>
        </is>
      </c>
    </row>
    <row r="310">
      <c r="A310" s="10" t="inlineStr">
        <is>
          <t>RIC3-23234</t>
        </is>
      </c>
      <c r="B310" s="10" t="inlineStr">
        <is>
          <t>RIC3-23234</t>
        </is>
      </c>
      <c r="C310" s="10" t="inlineStr">
        <is>
          <t>RIC3-23234</t>
        </is>
      </c>
      <c r="D310" s="10" t="inlineStr">
        <is>
          <t>RIC3-23234</t>
        </is>
      </c>
      <c r="F310" t="inlineStr">
        <is>
          <t>1234567890</t>
        </is>
      </c>
      <c r="H310" s="10" t="inlineStr">
        <is>
          <t>4949 Commerce Rd RICHMOND</t>
        </is>
      </c>
      <c r="K310" s="10" t="inlineStr">
        <is>
          <t>Chesterfield</t>
        </is>
      </c>
      <c r="L310" s="10" t="inlineStr">
        <is>
          <t>VA</t>
        </is>
      </c>
      <c r="M310" t="inlineStr">
        <is>
          <t>US</t>
        </is>
      </c>
      <c r="N310" s="10" t="inlineStr">
        <is>
          <t>23234</t>
        </is>
      </c>
    </row>
    <row r="311">
      <c r="A311" s="10" t="inlineStr">
        <is>
          <t>RDU4</t>
        </is>
      </c>
      <c r="B311" s="10" t="inlineStr">
        <is>
          <t>RDU4</t>
        </is>
      </c>
      <c r="C311" s="10" t="inlineStr">
        <is>
          <t>RDU4</t>
        </is>
      </c>
      <c r="D311" s="10" t="inlineStr">
        <is>
          <t>RDU4</t>
        </is>
      </c>
      <c r="F311" t="inlineStr">
        <is>
          <t>1234567890</t>
        </is>
      </c>
      <c r="H311" s="10" t="inlineStr">
        <is>
          <t>6309 Bragg Blvd</t>
        </is>
      </c>
      <c r="K311" s="10" t="inlineStr">
        <is>
          <t>FAYETTEVILLE</t>
        </is>
      </c>
      <c r="L311" s="10" t="inlineStr">
        <is>
          <t>NC</t>
        </is>
      </c>
      <c r="M311" t="inlineStr">
        <is>
          <t>US</t>
        </is>
      </c>
      <c r="N311" s="10" t="inlineStr">
        <is>
          <t>28303</t>
        </is>
      </c>
    </row>
    <row r="312">
      <c r="A312" s="10" t="inlineStr">
        <is>
          <t>LBE1</t>
        </is>
      </c>
      <c r="B312" s="10" t="inlineStr">
        <is>
          <t>LBE1</t>
        </is>
      </c>
      <c r="C312" s="10" t="inlineStr">
        <is>
          <t>LBE1</t>
        </is>
      </c>
      <c r="D312" s="10" t="inlineStr">
        <is>
          <t>LBE1</t>
        </is>
      </c>
      <c r="F312" t="inlineStr">
        <is>
          <t>1234567890</t>
        </is>
      </c>
      <c r="H312" s="10" t="inlineStr">
        <is>
          <t>165 GLENN FOX RD</t>
        </is>
      </c>
      <c r="K312" s="10" t="inlineStr">
        <is>
          <t>NEW STANTON</t>
        </is>
      </c>
      <c r="L312" s="10" t="inlineStr">
        <is>
          <t>PA</t>
        </is>
      </c>
      <c r="M312" t="inlineStr">
        <is>
          <t>US</t>
        </is>
      </c>
      <c r="N312" s="10" t="inlineStr">
        <is>
          <t>15672</t>
        </is>
      </c>
    </row>
    <row r="313">
      <c r="A313" s="10" t="inlineStr">
        <is>
          <t>LAN2</t>
        </is>
      </c>
      <c r="B313" s="10" t="inlineStr">
        <is>
          <t>LAN2</t>
        </is>
      </c>
      <c r="C313" s="10" t="inlineStr">
        <is>
          <t>LAN2</t>
        </is>
      </c>
      <c r="D313" s="10" t="inlineStr">
        <is>
          <t>LAN2</t>
        </is>
      </c>
      <c r="F313" t="inlineStr">
        <is>
          <t>1234567890</t>
        </is>
      </c>
      <c r="H313" s="10" t="inlineStr">
        <is>
          <t>6500 W Mt Hope Hwy</t>
        </is>
      </c>
      <c r="K313" s="10" t="inlineStr">
        <is>
          <t>LANSING</t>
        </is>
      </c>
      <c r="L313" s="10" t="inlineStr">
        <is>
          <t>MI</t>
        </is>
      </c>
      <c r="M313" t="inlineStr">
        <is>
          <t>US</t>
        </is>
      </c>
      <c r="N313" s="10" t="inlineStr">
        <is>
          <t>48917</t>
        </is>
      </c>
    </row>
    <row r="314">
      <c r="A314" s="10" t="inlineStr">
        <is>
          <t>AKR1</t>
        </is>
      </c>
      <c r="B314" s="10" t="inlineStr">
        <is>
          <t>AKR1</t>
        </is>
      </c>
      <c r="C314" s="10" t="inlineStr">
        <is>
          <t>AKR1</t>
        </is>
      </c>
      <c r="D314" s="10" t="inlineStr">
        <is>
          <t>AKR1</t>
        </is>
      </c>
      <c r="F314" t="inlineStr">
        <is>
          <t>1234567890</t>
        </is>
      </c>
      <c r="H314" s="10" t="inlineStr">
        <is>
          <t>4747 Rebar Ave NE</t>
        </is>
      </c>
      <c r="K314" s="10" t="inlineStr">
        <is>
          <t>CANTON</t>
        </is>
      </c>
      <c r="L314" s="10" t="inlineStr">
        <is>
          <t>OH</t>
        </is>
      </c>
      <c r="M314" t="inlineStr">
        <is>
          <t>US</t>
        </is>
      </c>
      <c r="N314" s="10" t="inlineStr">
        <is>
          <t>44705</t>
        </is>
      </c>
    </row>
    <row r="315">
      <c r="A315" s="10" t="inlineStr">
        <is>
          <t>ABQ2</t>
        </is>
      </c>
      <c r="B315" s="10" t="inlineStr">
        <is>
          <t>ABQ2</t>
        </is>
      </c>
      <c r="C315" s="10" t="inlineStr">
        <is>
          <t>ABQ2</t>
        </is>
      </c>
      <c r="D315" s="10" t="inlineStr">
        <is>
          <t>ABQ2</t>
        </is>
      </c>
      <c r="F315" t="inlineStr">
        <is>
          <t>1234567890</t>
        </is>
      </c>
      <c r="H315" s="10" t="inlineStr">
        <is>
          <t>6251 Pioneer Trail NW</t>
        </is>
      </c>
      <c r="K315" s="10" t="inlineStr">
        <is>
          <t>LOS LUNAS</t>
        </is>
      </c>
      <c r="L315" s="10" t="inlineStr">
        <is>
          <t>NM</t>
        </is>
      </c>
      <c r="M315" t="inlineStr">
        <is>
          <t>US</t>
        </is>
      </c>
      <c r="N315" s="10" t="inlineStr">
        <is>
          <t>87031</t>
        </is>
      </c>
    </row>
    <row r="316">
      <c r="A316" s="10" t="inlineStr">
        <is>
          <t>TMB8</t>
        </is>
      </c>
      <c r="B316" s="10" t="inlineStr">
        <is>
          <t>TMB8</t>
        </is>
      </c>
      <c r="C316" s="10" t="inlineStr">
        <is>
          <t>TMB8</t>
        </is>
      </c>
      <c r="D316" s="10" t="inlineStr">
        <is>
          <t>TMB8</t>
        </is>
      </c>
      <c r="F316" t="inlineStr">
        <is>
          <t>1234567890</t>
        </is>
      </c>
      <c r="H316" s="10" t="inlineStr">
        <is>
          <t>27505 SW 132nd AVE</t>
        </is>
      </c>
      <c r="K316" s="10" t="inlineStr">
        <is>
          <t>HOMESTEAD</t>
        </is>
      </c>
      <c r="L316" s="10" t="inlineStr">
        <is>
          <t>FL</t>
        </is>
      </c>
      <c r="M316" t="inlineStr">
        <is>
          <t>US</t>
        </is>
      </c>
      <c r="N316" s="10" t="inlineStr">
        <is>
          <t>33032</t>
        </is>
      </c>
    </row>
    <row r="317">
      <c r="A317" s="10" t="inlineStr">
        <is>
          <t>BNA6</t>
        </is>
      </c>
      <c r="B317" s="10" t="inlineStr">
        <is>
          <t>BNA6</t>
        </is>
      </c>
      <c r="C317" s="10" t="inlineStr">
        <is>
          <t>BNA6</t>
        </is>
      </c>
      <c r="D317" s="10" t="inlineStr">
        <is>
          <t>BNA6</t>
        </is>
      </c>
      <c r="F317" t="inlineStr">
        <is>
          <t>1234567890</t>
        </is>
      </c>
      <c r="H317" s="10" t="inlineStr">
        <is>
          <t>3875 GUTHRIE HWY</t>
        </is>
      </c>
      <c r="K317" s="10" t="inlineStr">
        <is>
          <t>CLARKSVILLE</t>
        </is>
      </c>
      <c r="L317" s="10" t="inlineStr">
        <is>
          <t>TN</t>
        </is>
      </c>
      <c r="M317" t="inlineStr">
        <is>
          <t>US</t>
        </is>
      </c>
      <c r="N317" s="10" t="inlineStr">
        <is>
          <t>37040</t>
        </is>
      </c>
    </row>
    <row r="318">
      <c r="A318" s="10" t="inlineStr">
        <is>
          <t>PSC2</t>
        </is>
      </c>
      <c r="B318" s="10" t="inlineStr">
        <is>
          <t>PSC2</t>
        </is>
      </c>
      <c r="C318" s="10" t="inlineStr">
        <is>
          <t>PSC2</t>
        </is>
      </c>
      <c r="D318" s="10" t="inlineStr">
        <is>
          <t>PSC2</t>
        </is>
      </c>
      <c r="F318" t="inlineStr">
        <is>
          <t>1234567890</t>
        </is>
      </c>
      <c r="H318" s="10" t="inlineStr">
        <is>
          <t>1351 S Road 40 E</t>
        </is>
      </c>
      <c r="K318" s="10" t="inlineStr">
        <is>
          <t>PASCO</t>
        </is>
      </c>
      <c r="L318" s="10" t="inlineStr">
        <is>
          <t>WA</t>
        </is>
      </c>
      <c r="M318" t="inlineStr">
        <is>
          <t>US</t>
        </is>
      </c>
      <c r="N318" s="10" t="inlineStr">
        <is>
          <t>99301</t>
        </is>
      </c>
    </row>
    <row r="319">
      <c r="A319" s="10" t="inlineStr">
        <is>
          <t>WBW2</t>
        </is>
      </c>
      <c r="B319" s="10" t="inlineStr">
        <is>
          <t>WBW2</t>
        </is>
      </c>
      <c r="C319" s="10" t="inlineStr">
        <is>
          <t>WBW2</t>
        </is>
      </c>
      <c r="D319" s="10" t="inlineStr">
        <is>
          <t>WBW2</t>
        </is>
      </c>
      <c r="F319" t="inlineStr">
        <is>
          <t>1234567890</t>
        </is>
      </c>
      <c r="H319" s="10" t="inlineStr">
        <is>
          <t>1300 Corporate Way</t>
        </is>
      </c>
      <c r="K319" s="10" t="inlineStr">
        <is>
          <t>OLYPHANT</t>
        </is>
      </c>
      <c r="L319" s="10" t="inlineStr">
        <is>
          <t>PA</t>
        </is>
      </c>
      <c r="M319" t="inlineStr">
        <is>
          <t>US</t>
        </is>
      </c>
      <c r="N319" s="10" t="inlineStr">
        <is>
          <t>18447</t>
        </is>
      </c>
    </row>
    <row r="320">
      <c r="A320" s="10" t="inlineStr">
        <is>
          <t>PSC2-97242</t>
        </is>
      </c>
      <c r="B320" s="10" t="inlineStr">
        <is>
          <t>PSC2-97242</t>
        </is>
      </c>
      <c r="C320" s="10" t="inlineStr">
        <is>
          <t>PSC2-97242</t>
        </is>
      </c>
      <c r="D320" s="10" t="inlineStr">
        <is>
          <t>PSC2-97242</t>
        </is>
      </c>
      <c r="F320" t="inlineStr">
        <is>
          <t>1234567890</t>
        </is>
      </c>
      <c r="H320" s="10" t="inlineStr">
        <is>
          <t>9930 NE Alderwood Rd</t>
        </is>
      </c>
      <c r="K320" s="10" t="inlineStr">
        <is>
          <t>Portland</t>
        </is>
      </c>
      <c r="L320" s="10" t="inlineStr">
        <is>
          <t>OR</t>
        </is>
      </c>
      <c r="M320" t="inlineStr">
        <is>
          <t>US</t>
        </is>
      </c>
      <c r="N320" s="10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64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64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64" t="n">
        <v>21740</v>
      </c>
    </row>
    <row r="324">
      <c r="A324" t="inlineStr">
        <is>
          <t>HIA1</t>
        </is>
      </c>
      <c r="B324" s="10" t="inlineStr">
        <is>
          <t>HIA1</t>
        </is>
      </c>
      <c r="C324" s="10" t="inlineStr">
        <is>
          <t>HIA1</t>
        </is>
      </c>
      <c r="D324" s="10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64" t="inlineStr">
        <is>
          <t>17057</t>
        </is>
      </c>
    </row>
    <row r="325">
      <c r="A325" t="inlineStr">
        <is>
          <t>MIT2</t>
        </is>
      </c>
      <c r="B325" s="10" t="inlineStr">
        <is>
          <t>MIT2</t>
        </is>
      </c>
      <c r="C325" s="10" t="inlineStr">
        <is>
          <t>MIT2</t>
        </is>
      </c>
      <c r="D325" s="10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64" t="inlineStr">
        <is>
          <t>93263</t>
        </is>
      </c>
    </row>
    <row r="326">
      <c r="A326" t="inlineStr">
        <is>
          <t>GEU3</t>
        </is>
      </c>
      <c r="B326" s="10" t="inlineStr">
        <is>
          <t>GEU3</t>
        </is>
      </c>
      <c r="C326" s="10" t="inlineStr">
        <is>
          <t>GEU3</t>
        </is>
      </c>
      <c r="D326" s="10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64" t="n">
        <v>85396</v>
      </c>
    </row>
    <row r="327">
      <c r="A327" t="inlineStr">
        <is>
          <t>XLX1</t>
        </is>
      </c>
      <c r="B327" s="10" t="inlineStr">
        <is>
          <t>XLX1</t>
        </is>
      </c>
      <c r="C327" s="10" t="inlineStr">
        <is>
          <t>XLX1</t>
        </is>
      </c>
      <c r="D327" s="10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64" t="inlineStr">
        <is>
          <t>21740</t>
        </is>
      </c>
    </row>
    <row r="328">
      <c r="A328" t="inlineStr">
        <is>
          <t>XLG1</t>
        </is>
      </c>
      <c r="B328" s="10" t="inlineStr">
        <is>
          <t>XLG1</t>
        </is>
      </c>
      <c r="C328" s="10" t="inlineStr">
        <is>
          <t>XLG1</t>
        </is>
      </c>
      <c r="D328" s="10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64" t="inlineStr">
        <is>
          <t>92374</t>
        </is>
      </c>
    </row>
    <row r="329">
      <c r="A329" t="inlineStr">
        <is>
          <t>JOT1</t>
        </is>
      </c>
      <c r="B329" s="10" t="inlineStr">
        <is>
          <t>JOT1</t>
        </is>
      </c>
      <c r="C329" s="10" t="inlineStr">
        <is>
          <t>JOT1</t>
        </is>
      </c>
      <c r="D329" s="10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64" t="inlineStr">
        <is>
          <t>92408</t>
        </is>
      </c>
    </row>
    <row r="330">
      <c r="A330" t="inlineStr">
        <is>
          <t>QXY5</t>
        </is>
      </c>
      <c r="B330" s="10" t="inlineStr">
        <is>
          <t>QXY5</t>
        </is>
      </c>
      <c r="C330" s="10" t="inlineStr">
        <is>
          <t>QXY5</t>
        </is>
      </c>
      <c r="D330" s="10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64" t="inlineStr">
        <is>
          <t>95215</t>
        </is>
      </c>
    </row>
    <row r="331">
      <c r="A331" t="inlineStr">
        <is>
          <t>IUSQ</t>
        </is>
      </c>
      <c r="B331" s="10" t="inlineStr">
        <is>
          <t>IUSQ</t>
        </is>
      </c>
      <c r="C331" s="10" t="inlineStr">
        <is>
          <t>IUSQ</t>
        </is>
      </c>
      <c r="D331" s="10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64" t="inlineStr">
        <is>
          <t>92374</t>
        </is>
      </c>
    </row>
    <row r="332">
      <c r="A332" t="inlineStr">
        <is>
          <t>GEU5</t>
        </is>
      </c>
      <c r="B332" s="10" t="inlineStr">
        <is>
          <t>GEU5</t>
        </is>
      </c>
      <c r="C332" s="10" t="inlineStr">
        <is>
          <t>GEU5</t>
        </is>
      </c>
      <c r="D332" s="10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64" t="inlineStr">
        <is>
          <t>85395</t>
        </is>
      </c>
    </row>
    <row r="333">
      <c r="A333" t="inlineStr">
        <is>
          <t>GEU2</t>
        </is>
      </c>
      <c r="B333" s="10" t="inlineStr">
        <is>
          <t>GEU2</t>
        </is>
      </c>
      <c r="C333" s="10" t="inlineStr">
        <is>
          <t>GEU2</t>
        </is>
      </c>
      <c r="D333" s="10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64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64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64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64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64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64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64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64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64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64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64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10" t="inlineStr">
        <is>
          <t>Atlanta</t>
        </is>
      </c>
      <c r="L344" s="10" t="inlineStr">
        <is>
          <t>GA</t>
        </is>
      </c>
      <c r="M344" s="10" t="inlineStr">
        <is>
          <t>US</t>
        </is>
      </c>
      <c r="N344" s="10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10" t="inlineStr">
        <is>
          <t>Jacksonville</t>
        </is>
      </c>
      <c r="L345" s="10" t="inlineStr">
        <is>
          <t>FL</t>
        </is>
      </c>
      <c r="M345" s="10" t="inlineStr">
        <is>
          <t>US</t>
        </is>
      </c>
      <c r="N345" s="10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10" t="inlineStr">
        <is>
          <t>GLENDALE</t>
        </is>
      </c>
      <c r="L346" s="10" t="inlineStr">
        <is>
          <t>AZ</t>
        </is>
      </c>
      <c r="M346" s="10" t="inlineStr">
        <is>
          <t>US</t>
        </is>
      </c>
      <c r="N346" s="10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10" t="inlineStr">
        <is>
          <t>BYHALIA</t>
        </is>
      </c>
      <c r="L347" s="10" t="inlineStr">
        <is>
          <t>MS</t>
        </is>
      </c>
      <c r="M347" s="10" t="inlineStr">
        <is>
          <t>US</t>
        </is>
      </c>
      <c r="N347" s="10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10" t="inlineStr">
        <is>
          <t>HUNTLEY</t>
        </is>
      </c>
      <c r="L348" s="10" t="inlineStr">
        <is>
          <t>IL</t>
        </is>
      </c>
      <c r="M348" s="10" t="inlineStr">
        <is>
          <t>US</t>
        </is>
      </c>
      <c r="N348" s="10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10" t="inlineStr">
        <is>
          <t>Crown Point</t>
        </is>
      </c>
      <c r="L349" s="10" t="inlineStr">
        <is>
          <t>IN</t>
        </is>
      </c>
      <c r="M349" s="10" t="inlineStr">
        <is>
          <t>US</t>
        </is>
      </c>
      <c r="N349" s="10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10" t="inlineStr">
        <is>
          <t>Miami Gardens</t>
        </is>
      </c>
      <c r="L350" s="10" t="inlineStr">
        <is>
          <t>FL</t>
        </is>
      </c>
      <c r="M350" s="10" t="inlineStr">
        <is>
          <t>US</t>
        </is>
      </c>
      <c r="N350" s="10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10" t="inlineStr">
        <is>
          <t>FONTANA</t>
        </is>
      </c>
      <c r="L351" s="10" t="inlineStr">
        <is>
          <t>CA</t>
        </is>
      </c>
      <c r="M351" s="10" t="inlineStr">
        <is>
          <t>US</t>
        </is>
      </c>
      <c r="N351" s="10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10" t="inlineStr">
        <is>
          <t>JURUPA VALLEY</t>
        </is>
      </c>
      <c r="L352" s="10" t="inlineStr">
        <is>
          <t>CA</t>
        </is>
      </c>
      <c r="M352" s="10" t="inlineStr">
        <is>
          <t>US</t>
        </is>
      </c>
      <c r="N352" s="10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10" t="inlineStr">
        <is>
          <t>US</t>
        </is>
      </c>
      <c r="N353" s="64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10" t="inlineStr">
        <is>
          <t>US</t>
        </is>
      </c>
      <c r="N354" s="64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10" t="inlineStr">
        <is>
          <t>US</t>
        </is>
      </c>
      <c r="N355" s="64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10" t="inlineStr">
        <is>
          <t>US</t>
        </is>
      </c>
      <c r="N356" s="64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10" t="inlineStr">
        <is>
          <t>US</t>
        </is>
      </c>
      <c r="N357" s="64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10" t="inlineStr">
        <is>
          <t>US</t>
        </is>
      </c>
      <c r="N358" s="64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10" t="inlineStr">
        <is>
          <t>US</t>
        </is>
      </c>
      <c r="N359" s="64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10" t="inlineStr">
        <is>
          <t>US</t>
        </is>
      </c>
      <c r="N360" s="64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10" t="inlineStr">
        <is>
          <t>US</t>
        </is>
      </c>
      <c r="N361" s="64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10" t="inlineStr">
        <is>
          <t>US</t>
        </is>
      </c>
      <c r="N362" s="64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10" t="inlineStr">
        <is>
          <t>US</t>
        </is>
      </c>
      <c r="N363" s="64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10" t="inlineStr">
        <is>
          <t>US</t>
        </is>
      </c>
      <c r="N364" s="64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10" t="inlineStr">
        <is>
          <t>US</t>
        </is>
      </c>
      <c r="N365" s="64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10" t="inlineStr">
        <is>
          <t>US</t>
        </is>
      </c>
      <c r="N366" s="64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10" t="inlineStr">
        <is>
          <t>US</t>
        </is>
      </c>
      <c r="N367" s="64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10" t="inlineStr">
        <is>
          <t>US</t>
        </is>
      </c>
      <c r="N368" s="64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10" t="inlineStr">
        <is>
          <t>US</t>
        </is>
      </c>
      <c r="N369" s="64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10" t="inlineStr">
        <is>
          <t>US</t>
        </is>
      </c>
      <c r="N370" s="64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10" t="inlineStr">
        <is>
          <t>US</t>
        </is>
      </c>
      <c r="N371" s="64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10" t="inlineStr">
        <is>
          <t>US</t>
        </is>
      </c>
      <c r="N372" s="64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10" t="inlineStr">
        <is>
          <t>US</t>
        </is>
      </c>
      <c r="N373" s="64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10" t="inlineStr">
        <is>
          <t>US</t>
        </is>
      </c>
      <c r="N374" s="64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10" t="inlineStr">
        <is>
          <t>US</t>
        </is>
      </c>
      <c r="N375" s="64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10" t="inlineStr">
        <is>
          <t>15101 N BEACH ST</t>
        </is>
      </c>
      <c r="I376" s="10" t="n"/>
      <c r="J376" s="10" t="n"/>
      <c r="K376" s="10" t="inlineStr">
        <is>
          <t>FORT WORTH</t>
        </is>
      </c>
      <c r="L376" s="10" t="inlineStr">
        <is>
          <t>TX</t>
        </is>
      </c>
      <c r="M376" s="10" t="inlineStr">
        <is>
          <t>US</t>
        </is>
      </c>
      <c r="N376" s="10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10" t="inlineStr">
        <is>
          <t>2500 E Belt Line Rd</t>
        </is>
      </c>
      <c r="I377" s="10" t="n"/>
      <c r="J377" s="10" t="n"/>
      <c r="K377" s="10" t="inlineStr">
        <is>
          <t>Lancaster</t>
        </is>
      </c>
      <c r="L377" s="10" t="inlineStr">
        <is>
          <t>TX</t>
        </is>
      </c>
      <c r="M377" s="10" t="inlineStr">
        <is>
          <t>US</t>
        </is>
      </c>
      <c r="N377" s="10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10" t="inlineStr">
        <is>
          <t>9360 AllPoints Pkwy. Suite 162</t>
        </is>
      </c>
      <c r="I378" s="10" t="n"/>
      <c r="J378" s="10" t="n"/>
      <c r="K378" s="10" t="inlineStr">
        <is>
          <t>Plainfield</t>
        </is>
      </c>
      <c r="L378" s="10" t="inlineStr">
        <is>
          <t>IN</t>
        </is>
      </c>
      <c r="M378" s="10" t="inlineStr">
        <is>
          <t>US</t>
        </is>
      </c>
      <c r="N378" s="10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10" t="inlineStr">
        <is>
          <t>120 VELOCITY WAY</t>
        </is>
      </c>
      <c r="I379" s="10" t="n"/>
      <c r="J379" s="10" t="n"/>
      <c r="K379" s="10" t="inlineStr">
        <is>
          <t>SHEPHERDSVILLE</t>
        </is>
      </c>
      <c r="L379" s="10" t="inlineStr">
        <is>
          <t>KY</t>
        </is>
      </c>
      <c r="M379" s="10" t="inlineStr">
        <is>
          <t>US</t>
        </is>
      </c>
      <c r="N379" s="10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10" t="inlineStr">
        <is>
          <t>1303 Sw Innovation Pkway</t>
        </is>
      </c>
      <c r="I380" s="10" t="n"/>
      <c r="J380" s="10" t="n"/>
      <c r="K380" s="10" t="inlineStr">
        <is>
          <t>TOPEKA</t>
        </is>
      </c>
      <c r="L380" s="10" t="inlineStr">
        <is>
          <t>KS</t>
        </is>
      </c>
      <c r="M380" s="10" t="inlineStr">
        <is>
          <t>US</t>
        </is>
      </c>
      <c r="N380" s="10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10" t="inlineStr">
        <is>
          <t>5100 NORTH RIDGE TRAIL</t>
        </is>
      </c>
      <c r="I381" s="10" t="n"/>
      <c r="J381" s="10" t="n"/>
      <c r="K381" s="10" t="inlineStr">
        <is>
          <t>DAVENPORT</t>
        </is>
      </c>
      <c r="L381" s="10" t="inlineStr">
        <is>
          <t>FL</t>
        </is>
      </c>
      <c r="M381" s="10" t="inlineStr">
        <is>
          <t>US</t>
        </is>
      </c>
      <c r="N381" s="10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10" t="inlineStr">
        <is>
          <t>10480 Marina Drive</t>
        </is>
      </c>
      <c r="I382" s="10" t="n"/>
      <c r="J382" s="10" t="n"/>
      <c r="K382" s="10" t="inlineStr">
        <is>
          <t>Olive Branch</t>
        </is>
      </c>
      <c r="L382" s="10" t="inlineStr">
        <is>
          <t>MS</t>
        </is>
      </c>
      <c r="M382" s="10" t="inlineStr">
        <is>
          <t>US</t>
        </is>
      </c>
      <c r="N382" s="10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10" t="inlineStr">
        <is>
          <t>3 SORBELLO WAY</t>
        </is>
      </c>
      <c r="I383" s="10" t="n"/>
      <c r="J383" s="10" t="n"/>
      <c r="K383" s="10" t="inlineStr">
        <is>
          <t>PEDRICKTOWN</t>
        </is>
      </c>
      <c r="L383" s="10" t="inlineStr">
        <is>
          <t>NJ</t>
        </is>
      </c>
      <c r="M383" s="10" t="inlineStr">
        <is>
          <t>US</t>
        </is>
      </c>
      <c r="N383" s="10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10" t="inlineStr">
        <is>
          <t>3501 BRANDON ROAD</t>
        </is>
      </c>
      <c r="I384" s="10" t="n"/>
      <c r="J384" s="10" t="n"/>
      <c r="K384" s="10" t="inlineStr">
        <is>
          <t>JOLIET</t>
        </is>
      </c>
      <c r="L384" s="10" t="inlineStr">
        <is>
          <t>IL</t>
        </is>
      </c>
      <c r="M384" s="10" t="inlineStr">
        <is>
          <t>US</t>
        </is>
      </c>
      <c r="N384" s="10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10" t="inlineStr">
        <is>
          <t>3215 COMMERCE CENTER BLVD</t>
        </is>
      </c>
      <c r="I385" s="10" t="n"/>
      <c r="J385" s="10" t="n"/>
      <c r="K385" s="10" t="inlineStr">
        <is>
          <t>BETHLEHEM</t>
        </is>
      </c>
      <c r="L385" s="10" t="inlineStr">
        <is>
          <t>PA</t>
        </is>
      </c>
      <c r="M385" s="10" t="inlineStr">
        <is>
          <t>US</t>
        </is>
      </c>
      <c r="N385" s="10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10" t="inlineStr">
        <is>
          <t>1410 UNITED DR</t>
        </is>
      </c>
      <c r="I386" s="10" t="n"/>
      <c r="J386" s="10" t="n"/>
      <c r="K386" s="10" t="inlineStr">
        <is>
          <t>SHIPPENSBURG</t>
        </is>
      </c>
      <c r="L386" s="10" t="inlineStr">
        <is>
          <t>PA</t>
        </is>
      </c>
      <c r="M386" s="10" t="inlineStr">
        <is>
          <t>US</t>
        </is>
      </c>
      <c r="N386" s="10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10" t="inlineStr">
        <is>
          <t>1915 EBBERTS SPG</t>
        </is>
      </c>
      <c r="I387" s="10" t="n"/>
      <c r="J387" s="10" t="n"/>
      <c r="K387" s="10" t="inlineStr">
        <is>
          <t>GREENCASTLE</t>
        </is>
      </c>
      <c r="L387" s="10" t="inlineStr">
        <is>
          <t>PA</t>
        </is>
      </c>
      <c r="M387" s="10" t="inlineStr">
        <is>
          <t>US</t>
        </is>
      </c>
      <c r="N387" s="10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10" t="inlineStr">
        <is>
          <t>6600 N SARIVAL AVE</t>
        </is>
      </c>
      <c r="I388" s="10" t="n"/>
      <c r="J388" s="10" t="n"/>
      <c r="K388" s="10" t="inlineStr">
        <is>
          <t>LITCHFIELD PARK</t>
        </is>
      </c>
      <c r="L388" s="10" t="inlineStr">
        <is>
          <t>AZ</t>
        </is>
      </c>
      <c r="M388" s="10" t="inlineStr">
        <is>
          <t>US</t>
        </is>
      </c>
      <c r="N388" s="10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10" t="inlineStr">
        <is>
          <t>4661 Apopka Logistics Pkwy</t>
        </is>
      </c>
      <c r="I389" s="10" t="n"/>
      <c r="J389" s="10" t="n"/>
      <c r="K389" s="10" t="inlineStr">
        <is>
          <t>Apopka</t>
        </is>
      </c>
      <c r="L389" s="10" t="inlineStr">
        <is>
          <t>FL</t>
        </is>
      </c>
      <c r="M389" s="10" t="inlineStr">
        <is>
          <t>US</t>
        </is>
      </c>
      <c r="N389" s="10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10" t="inlineStr">
        <is>
          <t>5756 Enterprise Dr</t>
        </is>
      </c>
      <c r="I390" s="10" t="n"/>
      <c r="J390" s="10" t="n"/>
      <c r="K390" s="10" t="inlineStr">
        <is>
          <t>Mccordsville</t>
        </is>
      </c>
      <c r="L390" s="10" t="inlineStr">
        <is>
          <t>IN</t>
        </is>
      </c>
      <c r="M390" s="10" t="inlineStr">
        <is>
          <t>US</t>
        </is>
      </c>
      <c r="N390" s="10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10" t="inlineStr">
        <is>
          <t>3611 S NORTHPOINTE DR</t>
        </is>
      </c>
      <c r="I391" s="10" t="n"/>
      <c r="J391" s="10" t="n"/>
      <c r="K391" s="10" t="inlineStr">
        <is>
          <t>FRESNO</t>
        </is>
      </c>
      <c r="L391" s="10" t="inlineStr">
        <is>
          <t>CA</t>
        </is>
      </c>
      <c r="M391" s="10" t="inlineStr">
        <is>
          <t>US</t>
        </is>
      </c>
      <c r="N391" s="10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10" t="inlineStr">
        <is>
          <t>14700 Blue Mound Rd</t>
        </is>
      </c>
      <c r="I392" s="10" t="n"/>
      <c r="J392" s="10" t="n"/>
      <c r="K392" s="10" t="inlineStr">
        <is>
          <t>Haslet</t>
        </is>
      </c>
      <c r="L392" s="10" t="inlineStr">
        <is>
          <t>TX</t>
        </is>
      </c>
      <c r="M392" s="10" t="inlineStr">
        <is>
          <t>US</t>
        </is>
      </c>
      <c r="N392" s="10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10" t="inlineStr">
        <is>
          <t>TX</t>
        </is>
      </c>
      <c r="M393" s="10" t="inlineStr">
        <is>
          <t>US</t>
        </is>
      </c>
      <c r="N393" s="64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10" t="inlineStr">
        <is>
          <t>US</t>
        </is>
      </c>
      <c r="N394" s="65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10" t="inlineStr">
        <is>
          <t>US</t>
        </is>
      </c>
      <c r="N395" s="64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10" t="inlineStr">
        <is>
          <t>US</t>
        </is>
      </c>
      <c r="N396" s="64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10" t="inlineStr">
        <is>
          <t>US</t>
        </is>
      </c>
      <c r="N397" s="64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10" t="inlineStr">
        <is>
          <t>US</t>
        </is>
      </c>
      <c r="N398" s="64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10" t="inlineStr">
        <is>
          <t>US</t>
        </is>
      </c>
      <c r="N399" s="64" t="n">
        <v>75180</v>
      </c>
    </row>
    <row r="400">
      <c r="M400" s="10" t="n"/>
    </row>
    <row r="401">
      <c r="M401" s="10" t="n"/>
    </row>
    <row r="402">
      <c r="M402" s="10" t="n"/>
    </row>
    <row r="403">
      <c r="M403" s="10" t="n"/>
    </row>
    <row r="405" ht="27" customHeight="1">
      <c r="A405" s="7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64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64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64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64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64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64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64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64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64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64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64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64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64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5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64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64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64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64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64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64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64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64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64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64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64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64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64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64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5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64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64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64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64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64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5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5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64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64" t="n">
        <v>18196</v>
      </c>
    </row>
    <row r="448" ht="27" customHeight="1">
      <c r="A448" s="7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64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64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64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64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64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64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64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64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64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64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64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64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64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64" t="n">
        <v>15122</v>
      </c>
    </row>
    <row r="467" ht="27" customHeight="1">
      <c r="A467" s="7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64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64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64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64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64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64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64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64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64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64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64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64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64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64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64" t="n">
        <v>60300</v>
      </c>
    </row>
    <row r="487" ht="27" customHeight="1">
      <c r="A487" s="7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64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64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64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64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64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64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64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64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64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64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64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64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64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64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64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64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64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64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64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64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64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64" t="inlineStr">
        <is>
          <t>T9E 0B4</t>
        </is>
      </c>
    </row>
    <row r="514" ht="27" customHeight="1">
      <c r="A514" s="7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64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64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64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64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64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64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64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64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64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64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64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64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64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64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64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64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64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64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64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64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64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64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64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64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64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64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64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64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64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64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64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64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64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64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64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64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64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64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64" t="inlineStr">
        <is>
          <t>NG16 3UA</t>
        </is>
      </c>
    </row>
    <row r="556" ht="27" customHeight="1">
      <c r="A556" s="7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64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64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64" t="n">
        <v>50197</v>
      </c>
    </row>
    <row r="560">
      <c r="A560" s="10" t="inlineStr">
        <is>
          <t>BCN8</t>
        </is>
      </c>
      <c r="B560" s="10" t="inlineStr">
        <is>
          <t>BCN8</t>
        </is>
      </c>
      <c r="C560" s="10" t="inlineStr">
        <is>
          <t>BCN8</t>
        </is>
      </c>
      <c r="D560" s="10" t="inlineStr">
        <is>
          <t>BCN8</t>
        </is>
      </c>
      <c r="E560" s="10" t="inlineStr">
        <is>
          <t>AMAZON</t>
        </is>
      </c>
      <c r="F560" s="10" t="inlineStr">
        <is>
          <t>0000000000</t>
        </is>
      </c>
      <c r="G560" s="10" t="n"/>
      <c r="H560" s="10" t="inlineStr">
        <is>
          <t>Carrer Ca n'Alzina 161</t>
        </is>
      </c>
      <c r="I560" s="10" t="n"/>
      <c r="J560" s="10" t="n"/>
      <c r="K560" s="10" t="inlineStr">
        <is>
          <t>Sabadell</t>
        </is>
      </c>
      <c r="L560" s="10" t="n"/>
      <c r="M560" s="10" t="inlineStr">
        <is>
          <t>ES</t>
        </is>
      </c>
      <c r="N560" s="10" t="inlineStr">
        <is>
          <t>08210</t>
        </is>
      </c>
    </row>
    <row r="561">
      <c r="A561" s="10" t="inlineStr">
        <is>
          <t>MAD6</t>
        </is>
      </c>
      <c r="B561" s="10" t="inlineStr">
        <is>
          <t>MAD6</t>
        </is>
      </c>
      <c r="C561" s="10" t="inlineStr">
        <is>
          <t>MAD6</t>
        </is>
      </c>
      <c r="D561" s="10" t="inlineStr">
        <is>
          <t>MAD6</t>
        </is>
      </c>
      <c r="E561" s="10" t="inlineStr">
        <is>
          <t>AMAZON</t>
        </is>
      </c>
      <c r="F561" s="10" t="inlineStr">
        <is>
          <t>0000000000</t>
        </is>
      </c>
      <c r="G561" s="10" t="n"/>
      <c r="H561" s="10" t="inlineStr">
        <is>
          <t>Avenida de la Logistica poligono industrial Veredilla III</t>
        </is>
      </c>
      <c r="I561" s="10" t="n"/>
      <c r="J561" s="10" t="n"/>
      <c r="K561" s="10" t="inlineStr">
        <is>
          <t>Illescas</t>
        </is>
      </c>
      <c r="L561" s="10" t="n"/>
      <c r="M561" s="10" t="inlineStr">
        <is>
          <t>ES</t>
        </is>
      </c>
      <c r="N561" s="10" t="inlineStr">
        <is>
          <t>45200</t>
        </is>
      </c>
    </row>
    <row r="562">
      <c r="A562" s="10" t="inlineStr">
        <is>
          <t>BCN1</t>
        </is>
      </c>
      <c r="B562" s="10" t="inlineStr">
        <is>
          <t>BCN1</t>
        </is>
      </c>
      <c r="C562" s="10" t="inlineStr">
        <is>
          <t>BCN1</t>
        </is>
      </c>
      <c r="D562" s="10" t="inlineStr">
        <is>
          <t>BCN1</t>
        </is>
      </c>
      <c r="E562" s="10" t="inlineStr">
        <is>
          <t>AMAZON</t>
        </is>
      </c>
      <c r="F562" s="10" t="inlineStr">
        <is>
          <t>0000000000</t>
        </is>
      </c>
      <c r="G562" s="10" t="n"/>
      <c r="H562" s="10" t="inlineStr">
        <is>
          <t>Av. de les Garrigues num.</t>
        </is>
      </c>
      <c r="I562" s="10" t="inlineStr">
        <is>
          <t>6-8 El Prat de Llobregat</t>
        </is>
      </c>
      <c r="J562" s="10" t="n"/>
      <c r="K562" s="10" t="inlineStr">
        <is>
          <t>Barcelona</t>
        </is>
      </c>
      <c r="L562" s="10" t="n"/>
      <c r="M562" s="10" t="inlineStr">
        <is>
          <t>ES</t>
        </is>
      </c>
      <c r="N562" s="10" t="inlineStr">
        <is>
          <t>08820</t>
        </is>
      </c>
    </row>
    <row r="563">
      <c r="A563" s="10" t="inlineStr">
        <is>
          <t>MAD4</t>
        </is>
      </c>
      <c r="B563" s="10" t="inlineStr">
        <is>
          <t>MAD4</t>
        </is>
      </c>
      <c r="C563" s="10" t="inlineStr">
        <is>
          <t>MAD4</t>
        </is>
      </c>
      <c r="D563" s="10" t="inlineStr">
        <is>
          <t>MAD4</t>
        </is>
      </c>
      <c r="E563" s="10" t="inlineStr">
        <is>
          <t>AMAZON</t>
        </is>
      </c>
      <c r="F563" s="10" t="inlineStr">
        <is>
          <t>0000000000</t>
        </is>
      </c>
      <c r="G563" s="10" t="n"/>
      <c r="H563" s="10" t="inlineStr">
        <is>
          <t>Astronomia 24 San Fernando de Henares</t>
        </is>
      </c>
      <c r="I563" s="10" t="n"/>
      <c r="J563" s="10" t="n"/>
      <c r="K563" s="10" t="inlineStr">
        <is>
          <t>Madrid</t>
        </is>
      </c>
      <c r="L563" s="10" t="n"/>
      <c r="M563" s="10" t="inlineStr">
        <is>
          <t>ES</t>
        </is>
      </c>
      <c r="N563" s="10" t="inlineStr">
        <is>
          <t>28830</t>
        </is>
      </c>
    </row>
    <row r="564">
      <c r="A564" s="10" t="inlineStr">
        <is>
          <t>XESB</t>
        </is>
      </c>
      <c r="B564" s="10" t="inlineStr">
        <is>
          <t>XESB</t>
        </is>
      </c>
      <c r="C564" s="10" t="inlineStr">
        <is>
          <t>XESB</t>
        </is>
      </c>
      <c r="D564" s="10" t="inlineStr">
        <is>
          <t>XESB</t>
        </is>
      </c>
      <c r="E564" s="10" t="inlineStr">
        <is>
          <t>AMAZON</t>
        </is>
      </c>
      <c r="F564" s="10" t="inlineStr">
        <is>
          <t>0000000000</t>
        </is>
      </c>
      <c r="G564" s="10" t="n"/>
      <c r="H564" s="10" t="inlineStr">
        <is>
          <t>Avenida Rio Henares 16</t>
        </is>
      </c>
      <c r="I564" s="10" t="n"/>
      <c r="J564" s="10" t="n"/>
      <c r="K564" s="10" t="inlineStr">
        <is>
          <t>Alovera</t>
        </is>
      </c>
      <c r="L564" s="10" t="n"/>
      <c r="M564" s="10" t="inlineStr">
        <is>
          <t>ES</t>
        </is>
      </c>
      <c r="N564" s="10" t="inlineStr">
        <is>
          <t>19208</t>
        </is>
      </c>
    </row>
    <row r="565">
      <c r="A565" s="10" t="inlineStr">
        <is>
          <t>XRE1</t>
        </is>
      </c>
      <c r="B565" s="10" t="inlineStr">
        <is>
          <t>XRE1</t>
        </is>
      </c>
      <c r="C565" s="10" t="inlineStr">
        <is>
          <t>XRE1</t>
        </is>
      </c>
      <c r="D565" s="10" t="inlineStr">
        <is>
          <t>XRE1</t>
        </is>
      </c>
      <c r="E565" s="10" t="inlineStr">
        <is>
          <t>AMAZON</t>
        </is>
      </c>
      <c r="F565" s="10" t="inlineStr">
        <is>
          <t>0000000000</t>
        </is>
      </c>
      <c r="G565" s="10" t="n"/>
      <c r="H565" s="10" t="inlineStr">
        <is>
          <t>Avenida de las Puntas 10</t>
        </is>
      </c>
      <c r="I565" s="10" t="n"/>
      <c r="J565" s="10" t="n"/>
      <c r="K565" s="10" t="inlineStr">
        <is>
          <t>Constanti</t>
        </is>
      </c>
      <c r="L565" s="10" t="n"/>
      <c r="M565" s="10" t="inlineStr">
        <is>
          <t>ES</t>
        </is>
      </c>
      <c r="N565" s="10" t="inlineStr">
        <is>
          <t>43120</t>
        </is>
      </c>
    </row>
    <row r="566">
      <c r="A566" s="10" t="inlineStr">
        <is>
          <t>RMU1</t>
        </is>
      </c>
      <c r="B566" s="10" t="inlineStr">
        <is>
          <t>RMU1</t>
        </is>
      </c>
      <c r="C566" s="10" t="inlineStr">
        <is>
          <t>RMU1</t>
        </is>
      </c>
      <c r="D566" s="10" t="inlineStr">
        <is>
          <t>RMU1</t>
        </is>
      </c>
      <c r="E566" s="10" t="inlineStr">
        <is>
          <t>AMAZON</t>
        </is>
      </c>
      <c r="F566" s="10" t="inlineStr">
        <is>
          <t>0000000000</t>
        </is>
      </c>
      <c r="G566" s="10" t="n"/>
      <c r="H566" s="10" t="inlineStr">
        <is>
          <t>Calle Isidro Vivancos Munoz</t>
        </is>
      </c>
      <c r="I566" s="10" t="inlineStr">
        <is>
          <t>Parque Logistico del Sureste</t>
        </is>
      </c>
      <c r="J566" s="10" t="n"/>
      <c r="K566" s="10" t="inlineStr">
        <is>
          <t>Murcia</t>
        </is>
      </c>
      <c r="L566" s="10" t="n"/>
      <c r="M566" s="10" t="inlineStr">
        <is>
          <t>ES</t>
        </is>
      </c>
      <c r="N566" s="10" t="inlineStr">
        <is>
          <t>30156</t>
        </is>
      </c>
    </row>
    <row r="567">
      <c r="A567" s="10" t="inlineStr">
        <is>
          <t>SVQ1</t>
        </is>
      </c>
      <c r="B567" s="10" t="inlineStr">
        <is>
          <t>SVQ1</t>
        </is>
      </c>
      <c r="C567" s="10" t="inlineStr">
        <is>
          <t>SVQ1</t>
        </is>
      </c>
      <c r="D567" s="10" t="inlineStr">
        <is>
          <t>SVQ1</t>
        </is>
      </c>
      <c r="E567" s="10" t="inlineStr">
        <is>
          <t>AMAZON</t>
        </is>
      </c>
      <c r="F567" s="10" t="inlineStr">
        <is>
          <t>0000000000</t>
        </is>
      </c>
      <c r="G567" s="10" t="n"/>
      <c r="H567" s="10" t="inlineStr">
        <is>
          <t>Bulevar Agustín Nuñez Llanos s/n</t>
        </is>
      </c>
      <c r="I567" s="10" t="inlineStr">
        <is>
          <t>Poligono La Isla, Dos Hermanas</t>
        </is>
      </c>
      <c r="J567" s="10" t="n"/>
      <c r="K567" s="10" t="inlineStr">
        <is>
          <t>Seville</t>
        </is>
      </c>
      <c r="L567" s="10" t="n"/>
      <c r="M567" s="10" t="inlineStr">
        <is>
          <t>ES</t>
        </is>
      </c>
      <c r="N567" s="10" t="inlineStr">
        <is>
          <t>41703</t>
        </is>
      </c>
    </row>
    <row r="570" ht="27" customHeight="1">
      <c r="A570" s="7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64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64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64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64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64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64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64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64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64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64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3.85"/>
  <cols>
    <col width="19.8938053097345" customWidth="1" min="1" max="1"/>
    <col width="17.0530973451327" customWidth="1" min="2" max="2"/>
    <col width="12.8761061946903" customWidth="1" min="3" max="3"/>
    <col width="13.6902654867257" customWidth="1" min="4" max="4"/>
  </cols>
  <sheetData>
    <row r="1" ht="33.75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5.7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5.7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5.7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5.7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5.7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5.7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5.7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5.7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5.7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5.7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5.7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5.7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5.7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5.7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5.7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5.7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5.7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5.7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5.7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5.7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5.7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5.7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5.7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5.7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5.7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5.7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5.7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5.7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5.7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5.7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5.7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5.7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5.7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5.7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5.7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5.7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5.7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5.7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5.7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5.7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5.7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5.7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5.7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5.7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5.7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5.7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5.7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5.7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5.7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5.7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5.7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5.7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5.7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5.7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5.7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5.7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5.7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5.7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5.7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5.7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5.7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5.7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5.7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5.7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5.7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5.7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5.7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5.7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5.7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5.7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5.7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5.7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5.7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5.7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5.7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33.75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5.7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5.7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5.7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5.7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5.7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5.7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5.7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5.7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5.7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5.7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5.7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5.7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5.7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5.7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5.7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5.7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5.7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5.7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5.7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5.7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5.7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5.7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5.7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5.7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5.7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5.7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5.7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5.7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5.7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5.7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5.7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5.7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5.7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5.7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5.7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5.7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5.7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5.7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5.7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5.7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5.7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5.7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5.7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5.7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5.7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5.7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5.7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5.7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5.7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5.7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5.7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5.7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5.7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5.7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5.7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5.7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5.7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5.7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5.7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5.7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5.7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5.7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5.7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5.7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5.7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5.7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5.7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5.7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5.7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5.7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5.7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5.7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5.7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5.7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5.7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33.75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5.7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5.7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5.7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5.7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5.7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5.7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5.7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5.7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5.7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5.7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5.7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5.7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5.7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5.7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5.7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5.7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5.7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5.7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5.7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5.7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5.7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5.7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5.7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5.7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5.7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5.7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5.7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5.7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5.7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5.7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5.7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5.7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5.7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5.7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5.7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5.7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5.7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5.7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5.7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5.7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5.7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5.7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5.7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5.7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5.7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5.7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5.7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5.7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5.7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5.7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5.7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5.7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5.7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5.7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5.7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5.7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5.7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5.7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5.7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5.7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5.7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5.7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5.7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5.7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5.7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5.7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5.7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5.7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5.7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5.7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5.7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5.7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5.7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5.7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5.7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33.75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5.7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5.7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5.7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5.7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5.7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5.7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5.7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5.7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5.7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5.7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5.7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5.7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5.7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5.7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5.7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5.7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5.7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5.7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5.7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5.7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5.7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5.7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5.7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5.7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5.7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5.7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5.7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5.7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5.7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5.7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5.7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5.7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5.7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5.7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5.7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5.7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5.7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5.7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5.7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5.7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5.7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5.7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5.7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5.7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5.7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5.7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5.7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5.7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5.7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5.7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5.7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5.7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5.7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5.7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5.7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5.7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5.7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5.7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5.7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5.7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5.7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5.7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5.7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5.7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5.7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5.7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5.7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5.7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5.7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5.7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5.7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5.7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5.7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5.7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5.7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33.75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5.7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5.7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5.7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5.7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5.7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5.7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5.7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5.7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5.7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5.7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5.7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5.7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5.7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5.7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5.7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5.7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5.7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5.7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5.7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5.7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5.7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5.7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5.7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5.7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5.7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5.7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5.7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5.7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5.7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5.7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5.7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5.7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5.7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5.7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5.7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5.7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5.7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5.7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5.7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5.7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5.7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5.7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5.7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5.7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5.7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5.7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5.7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5.7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5.7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5.7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5.7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5.7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5.7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5.7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5.7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5.7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5.7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5.7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5.7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5.7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5.7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5.7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5.7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5.7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5.7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5.7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5.7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5.7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5.7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5.7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5.7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5.7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5.7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5.7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5.7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2026-03-17T13:47:01Z</dcterms:modified>
  <cp:lastModifiedBy>严绍瑶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9E7D8B4CEA0345A981EDD3D08EA98EF5_13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