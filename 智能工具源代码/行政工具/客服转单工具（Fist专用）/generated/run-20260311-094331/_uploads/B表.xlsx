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模板(版本20251230)" sheetId="1" r:id="rId1"/>
    <sheet name="报关方式" sheetId="2" r:id="rId2"/>
    <sheet name="发货渠道" sheetId="3" r:id="rId3"/>
    <sheet name="地址库" sheetId="4" r:id="rId4"/>
    <sheet name="预计送仓数据" sheetId="5" r:id="rId5"/>
  </sheets>
  <definedNames>
    <definedName name="_xlnm._FilterDatabase" localSheetId="2" hidden="1">发货渠道!$A$1:$C$92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>示例：
① FBA195BWTTRV（FBA号)
② FX20260101（名称+日期）</t>
        </r>
      </text>
    </comment>
    <comment ref="B2" authorId="0">
      <text>
        <r>
          <rPr>
            <sz val="9"/>
            <rFont val="宋体"/>
            <charset val="134"/>
          </rPr>
          <t>必填项：
到发货渠道页面复制</t>
        </r>
      </text>
    </comment>
    <comment ref="F6" authorId="0">
      <text>
        <r>
          <rPr>
            <sz val="9"/>
            <rFont val="宋体"/>
            <charset val="134"/>
          </rPr>
          <t>必填项：
买单报关
报关退税</t>
        </r>
      </text>
    </comment>
    <comment ref="F10" authorId="0">
      <text>
        <r>
          <rPr>
            <sz val="9"/>
            <rFont val="宋体"/>
            <charset val="134"/>
          </rPr>
          <t>英国：GB000000000
法国：FR000000000
德国：DE000000000
等等</t>
        </r>
      </text>
    </comment>
  </commentList>
</comments>
</file>

<file path=xl/sharedStrings.xml><?xml version="1.0" encoding="utf-8"?>
<sst xmlns="http://schemas.openxmlformats.org/spreadsheetml/2006/main" count="7203" uniqueCount="2204">
  <si>
    <t>客户订单号</t>
  </si>
  <si>
    <r>
      <t>带电</t>
    </r>
    <r>
      <rPr>
        <sz val="9"/>
        <color indexed="10"/>
        <rFont val="微软雅黑"/>
        <family val="2"/>
        <charset val="134"/>
      </rPr>
      <t>*</t>
    </r>
  </si>
  <si>
    <t>否</t>
  </si>
  <si>
    <r>
      <t>服务</t>
    </r>
    <r>
      <rPr>
        <sz val="9"/>
        <color indexed="10"/>
        <rFont val="微软雅黑"/>
        <family val="2"/>
        <charset val="134"/>
      </rPr>
      <t>*</t>
    </r>
  </si>
  <si>
    <r>
      <t>带磁</t>
    </r>
    <r>
      <rPr>
        <sz val="9"/>
        <color indexed="10"/>
        <rFont val="微软雅黑"/>
        <family val="2"/>
        <charset val="134"/>
      </rPr>
      <t>*</t>
    </r>
  </si>
  <si>
    <t>地址库编码</t>
  </si>
  <si>
    <r>
      <t>液体</t>
    </r>
    <r>
      <rPr>
        <sz val="9"/>
        <color indexed="10"/>
        <rFont val="微软雅黑"/>
        <family val="2"/>
        <charset val="134"/>
      </rPr>
      <t>*</t>
    </r>
  </si>
  <si>
    <r>
      <t>收件人姓名</t>
    </r>
    <r>
      <rPr>
        <sz val="9"/>
        <color indexed="10"/>
        <rFont val="微软雅黑"/>
        <family val="2"/>
        <charset val="134"/>
      </rPr>
      <t>*</t>
    </r>
  </si>
  <si>
    <r>
      <t>粉末</t>
    </r>
    <r>
      <rPr>
        <sz val="9"/>
        <color indexed="10"/>
        <rFont val="微软雅黑"/>
        <family val="2"/>
        <charset val="134"/>
      </rPr>
      <t>*</t>
    </r>
  </si>
  <si>
    <t>收件人公司</t>
  </si>
  <si>
    <r>
      <t>危险品</t>
    </r>
    <r>
      <rPr>
        <sz val="9"/>
        <color indexed="10"/>
        <rFont val="微软雅黑"/>
        <family val="2"/>
        <charset val="134"/>
      </rPr>
      <t>*</t>
    </r>
  </si>
  <si>
    <r>
      <t>收件人地址一</t>
    </r>
    <r>
      <rPr>
        <sz val="9"/>
        <color indexed="10"/>
        <rFont val="微软雅黑"/>
        <family val="2"/>
        <charset val="134"/>
      </rPr>
      <t>*</t>
    </r>
  </si>
  <si>
    <r>
      <t>报关方式</t>
    </r>
    <r>
      <rPr>
        <sz val="9"/>
        <color indexed="10"/>
        <rFont val="微软雅黑"/>
        <family val="2"/>
        <charset val="134"/>
      </rPr>
      <t>*</t>
    </r>
  </si>
  <si>
    <t>买单报关</t>
  </si>
  <si>
    <t>收件人地址二</t>
  </si>
  <si>
    <t>清关方式</t>
  </si>
  <si>
    <t>一般贸易清关</t>
  </si>
  <si>
    <t>收件人地址三</t>
  </si>
  <si>
    <t>交税方式</t>
  </si>
  <si>
    <t>包税</t>
  </si>
  <si>
    <r>
      <t>收件人城市</t>
    </r>
    <r>
      <rPr>
        <sz val="9"/>
        <color indexed="10"/>
        <rFont val="微软雅黑"/>
        <family val="2"/>
        <charset val="134"/>
      </rPr>
      <t>*</t>
    </r>
  </si>
  <si>
    <t>交货条款</t>
  </si>
  <si>
    <t>收件人省份/州</t>
  </si>
  <si>
    <r>
      <t>VAT号</t>
    </r>
    <r>
      <rPr>
        <sz val="9"/>
        <color indexed="10"/>
        <rFont val="微软雅黑"/>
        <family val="2"/>
        <charset val="134"/>
      </rPr>
      <t>*</t>
    </r>
  </si>
  <si>
    <r>
      <t>收件人邮编</t>
    </r>
    <r>
      <rPr>
        <sz val="9"/>
        <color indexed="10"/>
        <rFont val="微软雅黑"/>
        <family val="2"/>
        <charset val="134"/>
      </rPr>
      <t>*</t>
    </r>
  </si>
  <si>
    <t>参考号一</t>
  </si>
  <si>
    <r>
      <t>收件人国家代码(二字代码)</t>
    </r>
    <r>
      <rPr>
        <sz val="9"/>
        <color indexed="10"/>
        <rFont val="微软雅黑"/>
        <family val="2"/>
        <charset val="134"/>
      </rPr>
      <t>*</t>
    </r>
  </si>
  <si>
    <r>
      <t>申报币种*</t>
    </r>
    <r>
      <rPr>
        <sz val="9"/>
        <color rgb="FFFF0000"/>
        <rFont val="微软雅黑"/>
        <family val="2"/>
        <charset val="134"/>
      </rPr>
      <t>*</t>
    </r>
  </si>
  <si>
    <t>美元</t>
  </si>
  <si>
    <t>收件人电话</t>
  </si>
  <si>
    <r>
      <t>备注</t>
    </r>
    <r>
      <rPr>
        <sz val="9"/>
        <color rgb="FFFF0000"/>
        <rFont val="微软雅黑"/>
        <family val="2"/>
        <charset val="134"/>
      </rPr>
      <t>*</t>
    </r>
  </si>
  <si>
    <t>填入开船时间</t>
  </si>
  <si>
    <t>预计送仓天数</t>
  </si>
  <si>
    <t>预计送仓时间</t>
  </si>
  <si>
    <t>收件人邮箱</t>
  </si>
  <si>
    <t>亚马逊预约配送时段*
（必填）</t>
  </si>
  <si>
    <t>年/月/日</t>
  </si>
  <si>
    <t>所在货站</t>
  </si>
  <si>
    <t>深圳坂田仓库</t>
  </si>
  <si>
    <t>亚马逊上架总数量*
（必填）</t>
  </si>
  <si>
    <r>
      <t>箱数</t>
    </r>
    <r>
      <rPr>
        <sz val="9"/>
        <color rgb="FFFF0000"/>
        <rFont val="微软雅黑"/>
        <family val="2"/>
        <charset val="134"/>
      </rPr>
      <t>*</t>
    </r>
  </si>
  <si>
    <r>
      <t>货箱编号</t>
    </r>
    <r>
      <rPr>
        <sz val="9"/>
        <color indexed="10"/>
        <rFont val="微软雅黑"/>
        <family val="2"/>
        <charset val="134"/>
      </rPr>
      <t>*</t>
    </r>
  </si>
  <si>
    <r>
      <t>PO Number</t>
    </r>
    <r>
      <rPr>
        <sz val="9"/>
        <color rgb="FFFF0000"/>
        <rFont val="微软雅黑"/>
        <family val="2"/>
        <charset val="134"/>
      </rPr>
      <t>*</t>
    </r>
  </si>
  <si>
    <t>货箱重量(KG)</t>
  </si>
  <si>
    <r>
      <t>货箱长度(</t>
    </r>
    <r>
      <rPr>
        <sz val="9"/>
        <color indexed="8"/>
        <rFont val="微软雅黑"/>
        <family val="2"/>
        <charset val="134"/>
      </rPr>
      <t>CM)</t>
    </r>
  </si>
  <si>
    <r>
      <t>货箱宽度(</t>
    </r>
    <r>
      <rPr>
        <sz val="9"/>
        <color indexed="8"/>
        <rFont val="微软雅黑"/>
        <family val="2"/>
        <charset val="134"/>
      </rPr>
      <t>CM)</t>
    </r>
  </si>
  <si>
    <r>
      <t>货箱高度(</t>
    </r>
    <r>
      <rPr>
        <sz val="9"/>
        <color indexed="8"/>
        <rFont val="微软雅黑"/>
        <family val="2"/>
        <charset val="134"/>
      </rPr>
      <t>CM)</t>
    </r>
  </si>
  <si>
    <r>
      <t>产品英文品名</t>
    </r>
    <r>
      <rPr>
        <sz val="9"/>
        <color indexed="10"/>
        <rFont val="微软雅黑"/>
        <family val="2"/>
        <charset val="134"/>
      </rPr>
      <t>*</t>
    </r>
  </si>
  <si>
    <r>
      <t>产品中文品名</t>
    </r>
    <r>
      <rPr>
        <sz val="9"/>
        <color indexed="10"/>
        <rFont val="微软雅黑"/>
        <family val="2"/>
        <charset val="134"/>
      </rPr>
      <t>*</t>
    </r>
  </si>
  <si>
    <r>
      <t>产品申报单价</t>
    </r>
    <r>
      <rPr>
        <sz val="9"/>
        <color indexed="10"/>
        <rFont val="微软雅黑"/>
        <family val="2"/>
        <charset val="134"/>
      </rPr>
      <t>*</t>
    </r>
  </si>
  <si>
    <r>
      <t>产品申报数量</t>
    </r>
    <r>
      <rPr>
        <sz val="9"/>
        <color indexed="10"/>
        <rFont val="微软雅黑"/>
        <family val="2"/>
        <charset val="134"/>
      </rPr>
      <t xml:space="preserve">*
</t>
    </r>
    <r>
      <rPr>
        <sz val="9"/>
        <color indexed="47"/>
        <rFont val="微软雅黑"/>
        <family val="2"/>
        <charset val="134"/>
      </rPr>
      <t>（单箱产品个数）</t>
    </r>
  </si>
  <si>
    <r>
      <t>产品材质</t>
    </r>
    <r>
      <rPr>
        <sz val="9"/>
        <color indexed="10"/>
        <rFont val="微软雅黑"/>
        <family val="2"/>
        <charset val="134"/>
      </rPr>
      <t>*</t>
    </r>
  </si>
  <si>
    <r>
      <t>产品海关编码</t>
    </r>
    <r>
      <rPr>
        <sz val="9"/>
        <color indexed="10"/>
        <rFont val="微软雅黑"/>
        <family val="2"/>
        <charset val="134"/>
      </rPr>
      <t>*</t>
    </r>
  </si>
  <si>
    <r>
      <t>产品用途</t>
    </r>
    <r>
      <rPr>
        <sz val="9"/>
        <color indexed="10"/>
        <rFont val="微软雅黑"/>
        <family val="2"/>
        <charset val="134"/>
      </rPr>
      <t>*</t>
    </r>
  </si>
  <si>
    <r>
      <t>产品品牌</t>
    </r>
    <r>
      <rPr>
        <sz val="9"/>
        <color indexed="10"/>
        <rFont val="微软雅黑"/>
        <family val="2"/>
        <charset val="134"/>
      </rPr>
      <t>*</t>
    </r>
  </si>
  <si>
    <r>
      <t>产品型号</t>
    </r>
    <r>
      <rPr>
        <sz val="9"/>
        <color indexed="10"/>
        <rFont val="微软雅黑"/>
        <family val="2"/>
        <charset val="134"/>
      </rPr>
      <t>*</t>
    </r>
  </si>
  <si>
    <r>
      <t>产品图片</t>
    </r>
    <r>
      <rPr>
        <sz val="9"/>
        <color rgb="FFFF0000"/>
        <rFont val="微软雅黑"/>
        <family val="2"/>
        <charset val="134"/>
      </rPr>
      <t>*</t>
    </r>
  </si>
  <si>
    <r>
      <t>产品销售链接</t>
    </r>
    <r>
      <rPr>
        <sz val="9"/>
        <color rgb="FFFF0000"/>
        <rFont val="微软雅黑"/>
        <family val="2"/>
        <charset val="134"/>
      </rPr>
      <t>*</t>
    </r>
  </si>
  <si>
    <t>报关退税</t>
  </si>
  <si>
    <t>普通报关</t>
  </si>
  <si>
    <t>渠道名称</t>
  </si>
  <si>
    <t>板块</t>
  </si>
  <si>
    <t>丰速达16T卡派</t>
  </si>
  <si>
    <t>美国海运</t>
  </si>
  <si>
    <t>丰速达16T自税卡派</t>
  </si>
  <si>
    <t>丰速达16T快递派</t>
  </si>
  <si>
    <t>丰速达18T卡派</t>
  </si>
  <si>
    <t>丰速达18T自税卡派</t>
  </si>
  <si>
    <t>丰速达18T快递派</t>
  </si>
  <si>
    <t>丰速达20T卡派</t>
  </si>
  <si>
    <t>丰速达20T自税卡派</t>
  </si>
  <si>
    <t>丰速达20T快递派</t>
  </si>
  <si>
    <t>普船特惠卡派</t>
  </si>
  <si>
    <t>纽约普船卡派</t>
  </si>
  <si>
    <t>纽约经济卡派</t>
  </si>
  <si>
    <t>奥克兰普船卡派</t>
  </si>
  <si>
    <t>萨凡纳普船卡派</t>
  </si>
  <si>
    <t>芝加哥普船卡派</t>
  </si>
  <si>
    <t>休斯顿普船卡派</t>
  </si>
  <si>
    <t>美森CLX正班UPS</t>
  </si>
  <si>
    <t>美森CLX正班卡派</t>
  </si>
  <si>
    <t>美森加班UPS</t>
  </si>
  <si>
    <t>美森加班卡派</t>
  </si>
  <si>
    <t>EXX快船UPS</t>
  </si>
  <si>
    <t>EXX快船卡派</t>
  </si>
  <si>
    <t>美森加班限时达UPS</t>
  </si>
  <si>
    <t>美森加班限时达卡派</t>
  </si>
  <si>
    <t>美森限时达海派（UPS派送）</t>
  </si>
  <si>
    <t>美森限时达卡派（卡车派送）</t>
  </si>
  <si>
    <t>以星限时达UPS</t>
  </si>
  <si>
    <t>以星限时达卡派</t>
  </si>
  <si>
    <t>合德限时达UPS</t>
  </si>
  <si>
    <t>合德限时达卡派</t>
  </si>
  <si>
    <t>普船卡派私人地址</t>
  </si>
  <si>
    <t>美国纯电海运（快递）</t>
  </si>
  <si>
    <t>美国美东纯电海运卡派</t>
  </si>
  <si>
    <t>美国美西纯电海运卡派</t>
  </si>
  <si>
    <t>上海UPS红单包税</t>
  </si>
  <si>
    <t>美国快递</t>
  </si>
  <si>
    <t>UPS红单特价</t>
  </si>
  <si>
    <t>UPS红单包税</t>
  </si>
  <si>
    <t>UPS红单特快</t>
  </si>
  <si>
    <t>香港UPS红单特快</t>
  </si>
  <si>
    <t>香港UPS红单特快包税</t>
  </si>
  <si>
    <t>联邦快递-IE</t>
  </si>
  <si>
    <t>联邦快递-IP</t>
  </si>
  <si>
    <t>香港DHL</t>
  </si>
  <si>
    <t>香港UPS红单</t>
  </si>
  <si>
    <t>香港UPS红单包税</t>
  </si>
  <si>
    <t>香港联邦快递</t>
  </si>
  <si>
    <t>加拿大UPS红单包税</t>
  </si>
  <si>
    <t>快递</t>
  </si>
  <si>
    <t>美国大陆直飞空派</t>
  </si>
  <si>
    <t>美国空运</t>
  </si>
  <si>
    <t>美国香港直飞空派</t>
  </si>
  <si>
    <t>欧洲空派限时达</t>
  </si>
  <si>
    <t>欧洲空派</t>
  </si>
  <si>
    <t>欧洲空派包税</t>
  </si>
  <si>
    <t>欧洲空派自税VAT</t>
  </si>
  <si>
    <t>英国空派限时达</t>
  </si>
  <si>
    <t>英国空派包税</t>
  </si>
  <si>
    <t>英国空派自税递延</t>
  </si>
  <si>
    <t>欧洲海运包税</t>
  </si>
  <si>
    <t>欧线</t>
  </si>
  <si>
    <t>欧洲海运卡派BS</t>
  </si>
  <si>
    <t>欧洲海运卡派递延</t>
  </si>
  <si>
    <t>欧洲海运自税递延</t>
  </si>
  <si>
    <t>英国海运含税专线</t>
  </si>
  <si>
    <t>英国海运卡派DY</t>
  </si>
  <si>
    <t>英国海运卡派BS</t>
  </si>
  <si>
    <t>英国海运自有VAT</t>
  </si>
  <si>
    <t>英国铁路包税专线</t>
  </si>
  <si>
    <t>英国铁路自税递延</t>
  </si>
  <si>
    <t>英国铁路自税专线</t>
  </si>
  <si>
    <t>中欧铁路快递派</t>
  </si>
  <si>
    <t>中欧铁路限时达快递派</t>
  </si>
  <si>
    <t>中欧铁路卡派递延</t>
  </si>
  <si>
    <t>中欧铁路卡派</t>
  </si>
  <si>
    <t>英国卡航包税</t>
  </si>
  <si>
    <t>卡航</t>
  </si>
  <si>
    <t>英国卡航不包税</t>
  </si>
  <si>
    <t>中欧卡航VAT-递延</t>
  </si>
  <si>
    <t>中欧卡航包税专线</t>
  </si>
  <si>
    <t>中欧卡航卡派直送</t>
  </si>
  <si>
    <t>中欧卡航卡派直送递延</t>
  </si>
  <si>
    <t>加拿大直飞专线</t>
  </si>
  <si>
    <t>加拿大空运</t>
  </si>
  <si>
    <t>美转加美森正班卡派</t>
  </si>
  <si>
    <t>加拿大海运</t>
  </si>
  <si>
    <t>美转加美森正班UPS</t>
  </si>
  <si>
    <t>美转加美森加班卡派</t>
  </si>
  <si>
    <t>美转加美森加班UPS</t>
  </si>
  <si>
    <t>美转加快提卡派</t>
  </si>
  <si>
    <t>美转加快提UPS</t>
  </si>
  <si>
    <t>美转加定提卡派</t>
  </si>
  <si>
    <t>美转加定提UPS</t>
  </si>
  <si>
    <t>加拿大直航普船卡派</t>
  </si>
  <si>
    <t>加拿大直航普船UPS</t>
  </si>
  <si>
    <t>加拿大直航普船特惠卡派</t>
  </si>
  <si>
    <t>澳大利亚空派不包税</t>
  </si>
  <si>
    <t>澳大利亚</t>
  </si>
  <si>
    <t>澳大利亚空派私人地址双清包税</t>
  </si>
  <si>
    <t>澳洲普货FBA海外仓双清含税</t>
  </si>
  <si>
    <t>澳大利亚空派FBA普货含税</t>
  </si>
  <si>
    <t>墨西哥双清包税按方卡派</t>
  </si>
  <si>
    <t>墨西哥</t>
  </si>
  <si>
    <t>墨西哥双清包税卡派</t>
  </si>
  <si>
    <t>美国亚马逊地址</t>
  </si>
  <si>
    <t>地址简称*</t>
  </si>
  <si>
    <t>地址编码*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</si>
  <si>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</si>
  <si>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</si>
  <si>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</si>
  <si>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</si>
  <si>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</si>
  <si>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</si>
  <si>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</si>
  <si>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</si>
  <si>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</si>
  <si>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</si>
  <si>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</si>
  <si>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</si>
  <si>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TEB9</t>
  </si>
  <si>
    <t>Amazon</t>
  </si>
  <si>
    <t>1234567890</t>
  </si>
  <si>
    <t>601 Randolph Road</t>
  </si>
  <si>
    <t>SOMERSET</t>
  </si>
  <si>
    <t>NJ</t>
  </si>
  <si>
    <t>US</t>
  </si>
  <si>
    <t>08873</t>
  </si>
  <si>
    <t>LGA9</t>
  </si>
  <si>
    <t>2170 Route 27</t>
  </si>
  <si>
    <t>Edison</t>
  </si>
  <si>
    <t>08817</t>
  </si>
  <si>
    <t>EL96</t>
  </si>
  <si>
    <t>10 sigle lane, unit b</t>
  </si>
  <si>
    <t>Dayton</t>
  </si>
  <si>
    <t>08810</t>
  </si>
  <si>
    <t>EWR4</t>
  </si>
  <si>
    <t>50 New Canton Way</t>
  </si>
  <si>
    <t>Robbinsville</t>
  </si>
  <si>
    <t>08691</t>
  </si>
  <si>
    <t>ABE8-401</t>
  </si>
  <si>
    <t>401 Independence Road</t>
  </si>
  <si>
    <t>Florence</t>
  </si>
  <si>
    <t>08518</t>
  </si>
  <si>
    <t>ABE8-309</t>
  </si>
  <si>
    <t>309 Cedar Lane</t>
  </si>
  <si>
    <t>ABE8</t>
  </si>
  <si>
    <t>TEB6</t>
  </si>
  <si>
    <t>22 Hightstown Cranbury State Road</t>
  </si>
  <si>
    <t>Cranbury</t>
  </si>
  <si>
    <t>08512</t>
  </si>
  <si>
    <t>TTN2</t>
  </si>
  <si>
    <t>343 HALF ACRE RD</t>
  </si>
  <si>
    <t>CRANBURY</t>
  </si>
  <si>
    <t>TEB3</t>
  </si>
  <si>
    <t>2651 Oldmans Creek Rd</t>
  </si>
  <si>
    <t>Logan Township</t>
  </si>
  <si>
    <t>08085</t>
  </si>
  <si>
    <t>IVSD</t>
  </si>
  <si>
    <t>UNO - Swedesboro NJ 800 Arlington Blvd Swedesboro</t>
  </si>
  <si>
    <t>Swedesboro</t>
  </si>
  <si>
    <t>TEB4</t>
  </si>
  <si>
    <t>747 COURSES LANDING RD</t>
  </si>
  <si>
    <t>PENNS GROVE</t>
  </si>
  <si>
    <t>08069</t>
  </si>
  <si>
    <t>IVSC</t>
  </si>
  <si>
    <t>Uno - West Deptford 1225 Forest Parkway West Deptf</t>
  </si>
  <si>
    <t>West Deptford</t>
  </si>
  <si>
    <t>08066</t>
  </si>
  <si>
    <t>ACY1</t>
  </si>
  <si>
    <t>240 Mantua Grove Road</t>
  </si>
  <si>
    <t>ACY2</t>
  </si>
  <si>
    <t>1101 E PEARL ST</t>
  </si>
  <si>
    <t>BURLINGTON</t>
  </si>
  <si>
    <t>08016</t>
  </si>
  <si>
    <t>EWR9</t>
  </si>
  <si>
    <t>8003 Industrial Parkway</t>
  </si>
  <si>
    <t>Carteret</t>
  </si>
  <si>
    <t>07008</t>
  </si>
  <si>
    <t>EWR5</t>
  </si>
  <si>
    <t>301 Blair Rd.</t>
  </si>
  <si>
    <t>Avenel</t>
  </si>
  <si>
    <t>07001</t>
  </si>
  <si>
    <t>EWR7</t>
  </si>
  <si>
    <t>GGE3</t>
  </si>
  <si>
    <t>Muse Paintbar 55 N. Main Street</t>
  </si>
  <si>
    <t>Norwalk</t>
  </si>
  <si>
    <t>CT</t>
  </si>
  <si>
    <t>06854</t>
  </si>
  <si>
    <t>BDL3</t>
  </si>
  <si>
    <t>409 Washington Avenue</t>
  </si>
  <si>
    <t>North Haven</t>
  </si>
  <si>
    <t>06473</t>
  </si>
  <si>
    <t>BDL6</t>
  </si>
  <si>
    <t>120 County Line Dr</t>
  </si>
  <si>
    <t>CROMWELL</t>
  </si>
  <si>
    <t>06416</t>
  </si>
  <si>
    <t>BDL2</t>
  </si>
  <si>
    <t>200 Old Iron Ore Rd</t>
  </si>
  <si>
    <t>Windsor</t>
  </si>
  <si>
    <t>06095</t>
  </si>
  <si>
    <t>BDL1</t>
  </si>
  <si>
    <t>801 Day Hill Rd.</t>
  </si>
  <si>
    <t>BOS1</t>
  </si>
  <si>
    <t>10 State St.</t>
  </si>
  <si>
    <t>Nashua</t>
  </si>
  <si>
    <t>NH</t>
  </si>
  <si>
    <t>03063</t>
  </si>
  <si>
    <t>BOS7</t>
  </si>
  <si>
    <t>1180 Innovation Way</t>
  </si>
  <si>
    <t>Fall River</t>
  </si>
  <si>
    <t>MA</t>
  </si>
  <si>
    <t>02720</t>
  </si>
  <si>
    <t>BOS7-2</t>
  </si>
  <si>
    <t>BOS5</t>
  </si>
  <si>
    <t>1000 Technology Center Dr</t>
  </si>
  <si>
    <t>Stoughton</t>
  </si>
  <si>
    <t>02072</t>
  </si>
  <si>
    <t>BOS2</t>
  </si>
  <si>
    <t>1000 Tech Centre</t>
  </si>
  <si>
    <t>Drive Stoughton</t>
  </si>
  <si>
    <t>GGE1</t>
  </si>
  <si>
    <t>Muse Paintbar 217 Patriot Place</t>
  </si>
  <si>
    <t>Foxborough</t>
  </si>
  <si>
    <t>02035</t>
  </si>
  <si>
    <t>GEG2</t>
  </si>
  <si>
    <t>18007 E Garland Ave</t>
  </si>
  <si>
    <t>SPOKANE</t>
  </si>
  <si>
    <t>WA</t>
  </si>
  <si>
    <t>99216</t>
  </si>
  <si>
    <t>BFI1</t>
  </si>
  <si>
    <t>1800 140th Avenue E.</t>
  </si>
  <si>
    <t>Sumner</t>
  </si>
  <si>
    <t>98390</t>
  </si>
  <si>
    <t>BFI7</t>
  </si>
  <si>
    <t>1901 140th Ave E</t>
  </si>
  <si>
    <t>BFI3</t>
  </si>
  <si>
    <t>2700 Center Drive</t>
  </si>
  <si>
    <t>Dupont</t>
  </si>
  <si>
    <t>98327</t>
  </si>
  <si>
    <t>SEA6</t>
  </si>
  <si>
    <t>2646 Rainier Ave.</t>
  </si>
  <si>
    <t>South Seattle</t>
  </si>
  <si>
    <t>98144</t>
  </si>
  <si>
    <t>BFI4</t>
  </si>
  <si>
    <t>20529 59th Place South</t>
  </si>
  <si>
    <t>Kent</t>
  </si>
  <si>
    <t>98032</t>
  </si>
  <si>
    <t>BFI5</t>
  </si>
  <si>
    <t>20526 59th Place South</t>
  </si>
  <si>
    <t>SEA8</t>
  </si>
  <si>
    <t>1475 124th Avenue</t>
  </si>
  <si>
    <t>Northeast Bellevue</t>
  </si>
  <si>
    <t>98005</t>
  </si>
  <si>
    <t>PDX7</t>
  </si>
  <si>
    <t>4775 Depot Ct SE</t>
  </si>
  <si>
    <t>Salem</t>
  </si>
  <si>
    <t>OR</t>
  </si>
  <si>
    <t>97317</t>
  </si>
  <si>
    <t>PDX6</t>
  </si>
  <si>
    <t>15000 N. Lombard St</t>
  </si>
  <si>
    <t>Portland</t>
  </si>
  <si>
    <t>97203</t>
  </si>
  <si>
    <t>PDX9</t>
  </si>
  <si>
    <t>1250 NW Swigert Way</t>
  </si>
  <si>
    <t>Troutdale</t>
  </si>
  <si>
    <t>97060</t>
  </si>
  <si>
    <t>SMF6</t>
  </si>
  <si>
    <t>4930ALLBAUGHDR</t>
  </si>
  <si>
    <t>SACRAMENTO</t>
  </si>
  <si>
    <t>CA</t>
  </si>
  <si>
    <t>95837</t>
  </si>
  <si>
    <t>SMF1</t>
  </si>
  <si>
    <t>4900 W Elkhorn Blvd</t>
  </si>
  <si>
    <t>Sacramento</t>
  </si>
  <si>
    <t>95835</t>
  </si>
  <si>
    <t>SJC7</t>
  </si>
  <si>
    <t>188 Mountain House Parkway</t>
  </si>
  <si>
    <t>Tracy</t>
  </si>
  <si>
    <t>95377</t>
  </si>
  <si>
    <t>PCA1</t>
  </si>
  <si>
    <t>1565 N MacArthur Dr</t>
  </si>
  <si>
    <t>95376</t>
  </si>
  <si>
    <t>OAK3</t>
  </si>
  <si>
    <t>255 Park Center Drive</t>
  </si>
  <si>
    <t>Patterson</t>
  </si>
  <si>
    <t>95363</t>
  </si>
  <si>
    <t>SCK3</t>
  </si>
  <si>
    <t>3565 N AIRPORT WAY</t>
  </si>
  <si>
    <t>MANTECA</t>
  </si>
  <si>
    <t>95336</t>
  </si>
  <si>
    <t>OAK4</t>
  </si>
  <si>
    <t>1555 N. Chrisman Rd</t>
  </si>
  <si>
    <t>95304</t>
  </si>
  <si>
    <t>SCK1</t>
  </si>
  <si>
    <t>4532 NEWCASTLE RD</t>
  </si>
  <si>
    <t>STOCKTON</t>
  </si>
  <si>
    <t>95215</t>
  </si>
  <si>
    <t>SCK4</t>
  </si>
  <si>
    <t>6001 S AUSTIN RD</t>
  </si>
  <si>
    <t>SMF3</t>
  </si>
  <si>
    <t>3923 S B ST</t>
  </si>
  <si>
    <t>Stockton</t>
  </si>
  <si>
    <t>95206</t>
  </si>
  <si>
    <t>XUSD</t>
  </si>
  <si>
    <t>1909 Zephyr St</t>
  </si>
  <si>
    <t>SJC8</t>
  </si>
  <si>
    <t>46724 Lakeview Blvd</t>
  </si>
  <si>
    <t>Fremont</t>
  </si>
  <si>
    <t>94538</t>
  </si>
  <si>
    <t>FAT1</t>
  </si>
  <si>
    <t>3575 S. Orange Ave</t>
  </si>
  <si>
    <t>Fresno</t>
  </si>
  <si>
    <t>93725</t>
  </si>
  <si>
    <t>BFL1</t>
  </si>
  <si>
    <t>1601 Petrol Road</t>
  </si>
  <si>
    <t>BAKERSFIELD</t>
  </si>
  <si>
    <t>93308</t>
  </si>
  <si>
    <t>FAT2</t>
  </si>
  <si>
    <t>3315 N KELSEY ST</t>
  </si>
  <si>
    <t>VISALIA</t>
  </si>
  <si>
    <t>93291</t>
  </si>
  <si>
    <t>KRB4</t>
  </si>
  <si>
    <t>4501 PATTERSON AVE</t>
  </si>
  <si>
    <t>PERRIS</t>
  </si>
  <si>
    <t>92571</t>
  </si>
  <si>
    <t>LGB9</t>
  </si>
  <si>
    <t>4375 N Perris Blvd</t>
  </si>
  <si>
    <t>Perris</t>
  </si>
  <si>
    <t>ONT6</t>
  </si>
  <si>
    <t>24208 San Michele Rd</t>
  </si>
  <si>
    <t>Moreno Valley</t>
  </si>
  <si>
    <t>92551</t>
  </si>
  <si>
    <t>ONT8</t>
  </si>
  <si>
    <t>24300 Nandina Ave</t>
  </si>
  <si>
    <t>LGB6</t>
  </si>
  <si>
    <t>20901 Krameria Ave</t>
  </si>
  <si>
    <t>Riverside</t>
  </si>
  <si>
    <t>92518</t>
  </si>
  <si>
    <t>KRB1</t>
  </si>
  <si>
    <t>555 E ORANGE SHOW RD</t>
  </si>
  <si>
    <t>SAN BERNARDINO</t>
  </si>
  <si>
    <t>92408</t>
  </si>
  <si>
    <t>SBD2</t>
  </si>
  <si>
    <t>1494 S WATERMAN AVE</t>
  </si>
  <si>
    <t>XIX7</t>
  </si>
  <si>
    <t>555E ORANGE SHOW RD</t>
  </si>
  <si>
    <t>ONT2</t>
  </si>
  <si>
    <t>1910 E Central Ave</t>
  </si>
  <si>
    <t>San Bernardino</t>
  </si>
  <si>
    <t>SBD3</t>
  </si>
  <si>
    <t>5990 N Cajon Blvd</t>
  </si>
  <si>
    <t>92407</t>
  </si>
  <si>
    <t>SNA4</t>
  </si>
  <si>
    <t>2496 W Walnut Ave</t>
  </si>
  <si>
    <t>Rialto</t>
  </si>
  <si>
    <t>92376</t>
  </si>
  <si>
    <t>LGB8</t>
  </si>
  <si>
    <t>1568 N Linden Ave</t>
  </si>
  <si>
    <t>LGB7</t>
  </si>
  <si>
    <t>1660 N Linden Ave</t>
  </si>
  <si>
    <t>ONT7</t>
  </si>
  <si>
    <t>2125 W. San Bernandino Ave.</t>
  </si>
  <si>
    <t>Redlands</t>
  </si>
  <si>
    <t>92374</t>
  </si>
  <si>
    <t>OHT9</t>
  </si>
  <si>
    <t>2125 West San Bernardino Ave</t>
  </si>
  <si>
    <t>ONT9</t>
  </si>
  <si>
    <t>2125 W. San Bernandino Ave</t>
  </si>
  <si>
    <t>LGB4</t>
  </si>
  <si>
    <t>27517 Pioneer Avenue</t>
  </si>
  <si>
    <t>LAX9</t>
  </si>
  <si>
    <t>11263 Oleander Ave</t>
  </si>
  <si>
    <t>FONTANA</t>
  </si>
  <si>
    <t>92337</t>
  </si>
  <si>
    <t>XIX6</t>
  </si>
  <si>
    <t>10681 Production Ave</t>
  </si>
  <si>
    <t>Fontana</t>
  </si>
  <si>
    <t>SBD1</t>
  </si>
  <si>
    <t>3388 S Cactus Ave</t>
  </si>
  <si>
    <t>BLOOMINGTON</t>
  </si>
  <si>
    <t>92316</t>
  </si>
  <si>
    <t>SAM1</t>
  </si>
  <si>
    <t>749 South Lemon Avenue</t>
  </si>
  <si>
    <t>walnut</t>
  </si>
  <si>
    <t>91789</t>
  </si>
  <si>
    <t>YLYN</t>
  </si>
  <si>
    <t>218 Machlin CT Unit B3</t>
  </si>
  <si>
    <t>Walnut</t>
  </si>
  <si>
    <t>SLA5</t>
  </si>
  <si>
    <t>5250 Goodman Rd</t>
  </si>
  <si>
    <t>Eastvale</t>
  </si>
  <si>
    <t>91752</t>
  </si>
  <si>
    <t>LGB3</t>
  </si>
  <si>
    <t>4950 Goodman Way</t>
  </si>
  <si>
    <t>K1W1</t>
  </si>
  <si>
    <t>4401 Eucalyptus Ave Unit 120</t>
  </si>
  <si>
    <t>Chino</t>
  </si>
  <si>
    <t>91710</t>
  </si>
  <si>
    <t>DS01</t>
  </si>
  <si>
    <t>4792 Gregg Rd</t>
  </si>
  <si>
    <t>Pico Rivera</t>
  </si>
  <si>
    <t>90660</t>
  </si>
  <si>
    <t>RNO4</t>
  </si>
  <si>
    <t>8000 North Virginia Street</t>
  </si>
  <si>
    <t>Reno</t>
  </si>
  <si>
    <t>NV</t>
  </si>
  <si>
    <t>89506</t>
  </si>
  <si>
    <t>RNO1</t>
  </si>
  <si>
    <t>1600 East Newlands RD</t>
  </si>
  <si>
    <t>Fernley</t>
  </si>
  <si>
    <t>89408</t>
  </si>
  <si>
    <t>LAS6</t>
  </si>
  <si>
    <t>4550 Nexus Way</t>
  </si>
  <si>
    <t>Las Vegas</t>
  </si>
  <si>
    <t>89115</t>
  </si>
  <si>
    <t>LAS7</t>
  </si>
  <si>
    <t>6001 East Tropical Parkway</t>
  </si>
  <si>
    <t>IVSE</t>
  </si>
  <si>
    <t>2951 MARION DR UNIT 101</t>
  </si>
  <si>
    <t>LAS VEGAS</t>
  </si>
  <si>
    <t>IVSF</t>
  </si>
  <si>
    <t>2821 MARION DR STE 109</t>
  </si>
  <si>
    <t>LAS1</t>
  </si>
  <si>
    <t>12300 Bermuda Road</t>
  </si>
  <si>
    <t>HENDERSON</t>
  </si>
  <si>
    <t>89044</t>
  </si>
  <si>
    <t>LAS2</t>
  </si>
  <si>
    <t>3837 Bay Lake Trail, Suite 111 North</t>
  </si>
  <si>
    <t>89030</t>
  </si>
  <si>
    <t>RNO2</t>
  </si>
  <si>
    <t>85906</t>
  </si>
  <si>
    <t>TUS2</t>
  </si>
  <si>
    <t>6701 S KOLB RD</t>
  </si>
  <si>
    <t>TUCSON</t>
  </si>
  <si>
    <t>AZ</t>
  </si>
  <si>
    <t>85756</t>
  </si>
  <si>
    <t>GYR2</t>
  </si>
  <si>
    <t>17341 W MINNEZONA AVE</t>
  </si>
  <si>
    <t>GOODYEAR</t>
  </si>
  <si>
    <t>85395</t>
  </si>
  <si>
    <t>GYR1</t>
  </si>
  <si>
    <t>605 143rd Ave</t>
  </si>
  <si>
    <t>85338</t>
  </si>
  <si>
    <t>PHX5</t>
  </si>
  <si>
    <t>16920 W Commerce Drive</t>
  </si>
  <si>
    <t>Goodyear</t>
  </si>
  <si>
    <t>AZA4</t>
  </si>
  <si>
    <t>3333 59th Ave</t>
  </si>
  <si>
    <t>PHOENIX</t>
  </si>
  <si>
    <t>85043</t>
  </si>
  <si>
    <t>GYR3</t>
  </si>
  <si>
    <t>8181 W ROOSEVELT ST</t>
  </si>
  <si>
    <t>TFC1</t>
  </si>
  <si>
    <t>5050 West Mohave St</t>
  </si>
  <si>
    <t>Phoenix</t>
  </si>
  <si>
    <t>PHX3</t>
  </si>
  <si>
    <t>6835 West Buckeye Road</t>
  </si>
  <si>
    <t>PHX6</t>
  </si>
  <si>
    <t>4750 West Mohave St</t>
  </si>
  <si>
    <t>PHX7</t>
  </si>
  <si>
    <t>800 N 75th Ave</t>
  </si>
  <si>
    <t>SLC1</t>
  </si>
  <si>
    <t>777 N 5600 W</t>
  </si>
  <si>
    <t>Salt Lake</t>
  </si>
  <si>
    <t>UT</t>
  </si>
  <si>
    <t>84116</t>
  </si>
  <si>
    <t>SLC3</t>
  </si>
  <si>
    <t>355 N JOHN GLENN RD</t>
  </si>
  <si>
    <t>SALT LAKE CITY</t>
  </si>
  <si>
    <t>SLC2</t>
  </si>
  <si>
    <t>7148 W. Old Bingham Hwy</t>
  </si>
  <si>
    <t>West Jordan</t>
  </si>
  <si>
    <t>84081</t>
  </si>
  <si>
    <t>DEN3</t>
  </si>
  <si>
    <t>14601 Grant Street</t>
  </si>
  <si>
    <t>Thornton</t>
  </si>
  <si>
    <t>CO</t>
  </si>
  <si>
    <t>80023</t>
  </si>
  <si>
    <t>DEN2</t>
  </si>
  <si>
    <t>22205 East 19th Ave</t>
  </si>
  <si>
    <t>Aurora</t>
  </si>
  <si>
    <t>80019</t>
  </si>
  <si>
    <t>DEN7</t>
  </si>
  <si>
    <t>22300 E 26th Ave</t>
  </si>
  <si>
    <t>AURORA</t>
  </si>
  <si>
    <t>DEN8</t>
  </si>
  <si>
    <t>AMAZON</t>
  </si>
  <si>
    <t>21000 E 13th Ave.</t>
  </si>
  <si>
    <t>80018</t>
  </si>
  <si>
    <t>SAT2</t>
  </si>
  <si>
    <t>1401 E McCarty Lane</t>
  </si>
  <si>
    <t>San Marcos</t>
  </si>
  <si>
    <t>TX</t>
  </si>
  <si>
    <t>78666</t>
  </si>
  <si>
    <t>SAT6</t>
  </si>
  <si>
    <t>1346 Fortuna Road</t>
  </si>
  <si>
    <t>SAN MARCOS</t>
  </si>
  <si>
    <t>SAT4</t>
  </si>
  <si>
    <t>10384 W US HIGHWAY 90</t>
  </si>
  <si>
    <t>SAN ANTONIO</t>
  </si>
  <si>
    <t>78245</t>
  </si>
  <si>
    <t>SAT1</t>
  </si>
  <si>
    <t>6000 Enterprise Avenue</t>
  </si>
  <si>
    <t>Schertz</t>
  </si>
  <si>
    <t>78154</t>
  </si>
  <si>
    <t>HOU8</t>
  </si>
  <si>
    <t>2303 Hurricane Lane</t>
  </si>
  <si>
    <t>FRESNO</t>
  </si>
  <si>
    <t>77545</t>
  </si>
  <si>
    <t>HOU3</t>
  </si>
  <si>
    <t>31555 Highway 90 E</t>
  </si>
  <si>
    <t>Brookshire</t>
  </si>
  <si>
    <t>77423</t>
  </si>
  <si>
    <t>HOU1</t>
  </si>
  <si>
    <t>8120 Humble Westfield Rd</t>
  </si>
  <si>
    <t>Humble</t>
  </si>
  <si>
    <t>77338</t>
  </si>
  <si>
    <t>HOU7</t>
  </si>
  <si>
    <t>16225 Tomball Pkwy</t>
  </si>
  <si>
    <t>Houston</t>
  </si>
  <si>
    <t>77064</t>
  </si>
  <si>
    <t>ITX1</t>
  </si>
  <si>
    <t>9851 Fallbrook Pines Drive Suite 100</t>
  </si>
  <si>
    <t>ITX2</t>
  </si>
  <si>
    <t>6911 FAIRBANKS N HOUSTON RD SUITE 160</t>
  </si>
  <si>
    <t>77040</t>
  </si>
  <si>
    <t>HOU2</t>
  </si>
  <si>
    <t>10550 Ella Blvd.</t>
  </si>
  <si>
    <t>77038</t>
  </si>
  <si>
    <t>DFW7</t>
  </si>
  <si>
    <t>700 Westport Parkway</t>
  </si>
  <si>
    <t>Fort Worth</t>
  </si>
  <si>
    <t>76177</t>
  </si>
  <si>
    <t>FTW3</t>
  </si>
  <si>
    <t>15201 Heritage Pkwy</t>
  </si>
  <si>
    <t>XUSB</t>
  </si>
  <si>
    <t>14900 Frye Rd.</t>
  </si>
  <si>
    <t>76155</t>
  </si>
  <si>
    <t>AFW1</t>
  </si>
  <si>
    <t>1851 NE LOOP 820</t>
  </si>
  <si>
    <t>FORT WORTH</t>
  </si>
  <si>
    <t>76131</t>
  </si>
  <si>
    <t>DFW8</t>
  </si>
  <si>
    <t>2700 Regent Blvd</t>
  </si>
  <si>
    <t>DFW Airport</t>
  </si>
  <si>
    <t>75261</t>
  </si>
  <si>
    <t>DAL2</t>
  </si>
  <si>
    <t>2601 S. Airfield Drive</t>
  </si>
  <si>
    <t>FTW6</t>
  </si>
  <si>
    <t>2601 W Bethel Road</t>
  </si>
  <si>
    <t>Dallas</t>
  </si>
  <si>
    <t>FTW1</t>
  </si>
  <si>
    <t>33333 LBJ FWY</t>
  </si>
  <si>
    <t>75241</t>
  </si>
  <si>
    <t>Test</t>
  </si>
  <si>
    <t>TEST</t>
  </si>
  <si>
    <t>2948 CONGRESSMAN LN</t>
  </si>
  <si>
    <t>DALLAS</t>
  </si>
  <si>
    <t>75220</t>
  </si>
  <si>
    <t>DAL3</t>
  </si>
  <si>
    <t>1301 Chalk Hill Rd</t>
  </si>
  <si>
    <t>75211</t>
  </si>
  <si>
    <t>FTW5</t>
  </si>
  <si>
    <t>1475 Akron Way</t>
  </si>
  <si>
    <t>Forney</t>
  </si>
  <si>
    <t>75126</t>
  </si>
  <si>
    <t>DFW1</t>
  </si>
  <si>
    <t>Irving</t>
  </si>
  <si>
    <t>75063</t>
  </si>
  <si>
    <t>DFW6</t>
  </si>
  <si>
    <t>940 W Bethel Road</t>
  </si>
  <si>
    <t>Coppell</t>
  </si>
  <si>
    <t>75019</t>
  </si>
  <si>
    <t>FTW2</t>
  </si>
  <si>
    <t>2701 West Bethel Road</t>
  </si>
  <si>
    <t>FTW9</t>
  </si>
  <si>
    <t>944 West Sandy Lake Road</t>
  </si>
  <si>
    <t>COPPELL</t>
  </si>
  <si>
    <t>TUL2</t>
  </si>
  <si>
    <t>4040 N 125th E Ave</t>
  </si>
  <si>
    <t>Tulsa</t>
  </si>
  <si>
    <t>OK</t>
  </si>
  <si>
    <t>74116</t>
  </si>
  <si>
    <t>OKC1</t>
  </si>
  <si>
    <t>9201 S Portland Avenue</t>
  </si>
  <si>
    <t>OKLAHOMA CITY</t>
  </si>
  <si>
    <t>73159</t>
  </si>
  <si>
    <t>OKC2</t>
  </si>
  <si>
    <t>8991 S Portland Avenue</t>
  </si>
  <si>
    <t>LIT2</t>
  </si>
  <si>
    <t>13001 HIGHWAY 70</t>
  </si>
  <si>
    <t>North Little Rock</t>
  </si>
  <si>
    <t>AR</t>
  </si>
  <si>
    <t>72117</t>
  </si>
  <si>
    <t>LFT1</t>
  </si>
  <si>
    <t>3550 NE EVANGELINE TRWY</t>
  </si>
  <si>
    <t>CARENCRO</t>
  </si>
  <si>
    <t>LA</t>
  </si>
  <si>
    <t>70520</t>
  </si>
  <si>
    <t>TUL1</t>
  </si>
  <si>
    <t>2654 North Highway 169</t>
  </si>
  <si>
    <t>Coffeyville</t>
  </si>
  <si>
    <t>KS</t>
  </si>
  <si>
    <t>67337</t>
  </si>
  <si>
    <t>ICT2</t>
  </si>
  <si>
    <t>7130 N BROADWAY AVE</t>
  </si>
  <si>
    <t>PARK CITY</t>
  </si>
  <si>
    <t>67219</t>
  </si>
  <si>
    <t>MCI1</t>
  </si>
  <si>
    <t>113th St &amp; Renner Blvd.</t>
  </si>
  <si>
    <t>Lenexa</t>
  </si>
  <si>
    <t>66219</t>
  </si>
  <si>
    <t>FOE1</t>
  </si>
  <si>
    <t>9400 LEAVENWORTH RD</t>
  </si>
  <si>
    <t>KANSAS CITY</t>
  </si>
  <si>
    <t>66109</t>
  </si>
  <si>
    <t>MKC6</t>
  </si>
  <si>
    <t>6925 Riverview Avenue</t>
  </si>
  <si>
    <t>Kansas City</t>
  </si>
  <si>
    <t>66102</t>
  </si>
  <si>
    <t>MKC4</t>
  </si>
  <si>
    <t>19645 Waverly Rd</t>
  </si>
  <si>
    <t>Edgerton</t>
  </si>
  <si>
    <t>66021</t>
  </si>
  <si>
    <t>STL3</t>
  </si>
  <si>
    <t>3200 E SAWYER RD</t>
  </si>
  <si>
    <t>REPUBLIC</t>
  </si>
  <si>
    <t>MO</t>
  </si>
  <si>
    <t>65738</t>
  </si>
  <si>
    <t>STL8</t>
  </si>
  <si>
    <t>4000 Premier Parkway SAINT PETERS</t>
  </si>
  <si>
    <t>SAINT PETERS</t>
  </si>
  <si>
    <t>63376</t>
  </si>
  <si>
    <t>STL4</t>
  </si>
  <si>
    <t>3050 GATEWAY COMMERCE CENTER DR S</t>
  </si>
  <si>
    <t>Edwardsville</t>
  </si>
  <si>
    <t>IL</t>
  </si>
  <si>
    <t>62025</t>
  </si>
  <si>
    <t>STL6</t>
  </si>
  <si>
    <t>3931 Lakeview Corporate Drive</t>
  </si>
  <si>
    <t>MDW9</t>
  </si>
  <si>
    <t>2865 Duke Parkway</t>
  </si>
  <si>
    <t>60502</t>
  </si>
  <si>
    <t>IGQ2</t>
  </si>
  <si>
    <t>23257 S. Central Avenue</t>
  </si>
  <si>
    <t>University Park</t>
  </si>
  <si>
    <t>60484</t>
  </si>
  <si>
    <t>MDW7</t>
  </si>
  <si>
    <t>6605 Monee Manhattan Road</t>
  </si>
  <si>
    <t>Monee</t>
  </si>
  <si>
    <t>60449</t>
  </si>
  <si>
    <t>MDW6</t>
  </si>
  <si>
    <t>1125 W REMINGTON BLVD ROMEOVILLE</t>
  </si>
  <si>
    <t>ROMEOVILLE</t>
  </si>
  <si>
    <t>60446</t>
  </si>
  <si>
    <t>MDW2</t>
  </si>
  <si>
    <t>250 Emerald DR</t>
  </si>
  <si>
    <t>Joliet</t>
  </si>
  <si>
    <t>60433</t>
  </si>
  <si>
    <t>MDW4</t>
  </si>
  <si>
    <t>201 EMERALD DR</t>
  </si>
  <si>
    <t>ORD2</t>
  </si>
  <si>
    <t>23714 W Amoco Rd</t>
  </si>
  <si>
    <t>CHANNAHON</t>
  </si>
  <si>
    <t>60410</t>
  </si>
  <si>
    <t>ORD6</t>
  </si>
  <si>
    <t>1250 N Mittel Blvd</t>
  </si>
  <si>
    <t>Wood Dale</t>
  </si>
  <si>
    <t>60191</t>
  </si>
  <si>
    <t>MDW8</t>
  </si>
  <si>
    <t>1750 Bridge Drive</t>
  </si>
  <si>
    <t>Waukegan</t>
  </si>
  <si>
    <t>60085</t>
  </si>
  <si>
    <t>MSP1</t>
  </si>
  <si>
    <t>2601 4th Avenue East</t>
  </si>
  <si>
    <t>Shakopee</t>
  </si>
  <si>
    <t>MN</t>
  </si>
  <si>
    <t>55379</t>
  </si>
  <si>
    <t>JVL1</t>
  </si>
  <si>
    <t>1255 GATEWAY BLVD</t>
  </si>
  <si>
    <t>BELOIT</t>
  </si>
  <si>
    <t>WI</t>
  </si>
  <si>
    <t>53511</t>
  </si>
  <si>
    <t>MKE2</t>
  </si>
  <si>
    <t>9700 S 13th Street</t>
  </si>
  <si>
    <t>OAK CREEK</t>
  </si>
  <si>
    <t>53154</t>
  </si>
  <si>
    <t>MKE1</t>
  </si>
  <si>
    <t>3501 120th Ave,Kenosha,WI 53144</t>
  </si>
  <si>
    <t>Kenosha</t>
  </si>
  <si>
    <t>53144</t>
  </si>
  <si>
    <t>DSM5</t>
  </si>
  <si>
    <t>500 32nd St SW</t>
  </si>
  <si>
    <t>Altoona</t>
  </si>
  <si>
    <t>IA</t>
  </si>
  <si>
    <t>50009</t>
  </si>
  <si>
    <t>GRR1</t>
  </si>
  <si>
    <t>4500 68th St SE</t>
  </si>
  <si>
    <t>CALEDONIA</t>
  </si>
  <si>
    <t>MI</t>
  </si>
  <si>
    <t>49316</t>
  </si>
  <si>
    <t>DET2</t>
  </si>
  <si>
    <t>50500 Mound Rd</t>
  </si>
  <si>
    <t>Shelby Township</t>
  </si>
  <si>
    <t>48317</t>
  </si>
  <si>
    <t>DTW1</t>
  </si>
  <si>
    <t>32801 Ecorse Road</t>
  </si>
  <si>
    <t>Romulus</t>
  </si>
  <si>
    <t>48174</t>
  </si>
  <si>
    <t>DET1</t>
  </si>
  <si>
    <t>39000 Amrhein Road</t>
  </si>
  <si>
    <t>Livonia</t>
  </si>
  <si>
    <t>48150</t>
  </si>
  <si>
    <t>IND6</t>
  </si>
  <si>
    <t>1453 E 10th St</t>
  </si>
  <si>
    <t>Jeffersonville</t>
  </si>
  <si>
    <t>IN</t>
  </si>
  <si>
    <t>47130</t>
  </si>
  <si>
    <t>SDF8</t>
  </si>
  <si>
    <t>900 Patrol Rd</t>
  </si>
  <si>
    <t>FWA4</t>
  </si>
  <si>
    <t>9798 Smith Road</t>
  </si>
  <si>
    <t>FORT WAYNE</t>
  </si>
  <si>
    <t>46809</t>
  </si>
  <si>
    <t>IND4</t>
  </si>
  <si>
    <t>710 S. Girls School Rd</t>
  </si>
  <si>
    <t>Indianapolis</t>
  </si>
  <si>
    <t>46231</t>
  </si>
  <si>
    <t>MQJ2</t>
  </si>
  <si>
    <t>19 BOB GLIDDEN BLVD</t>
  </si>
  <si>
    <t>WHITELAND</t>
  </si>
  <si>
    <t>46184</t>
  </si>
  <si>
    <t>IND2</t>
  </si>
  <si>
    <t>715 Airtech Pkwy</t>
  </si>
  <si>
    <t>Plainfield</t>
  </si>
  <si>
    <t>46168</t>
  </si>
  <si>
    <t>IND3</t>
  </si>
  <si>
    <t>715 Airtech Pkwy Suite 195</t>
  </si>
  <si>
    <t>IND5</t>
  </si>
  <si>
    <t>800 Perry Road</t>
  </si>
  <si>
    <t>IND9</t>
  </si>
  <si>
    <t>1151 S GRAHAM RD</t>
  </si>
  <si>
    <t>GREENWOOD</t>
  </si>
  <si>
    <t>46143</t>
  </si>
  <si>
    <t>MQJ1</t>
  </si>
  <si>
    <t>4412 W 300 N</t>
  </si>
  <si>
    <t>GREENFIELD</t>
  </si>
  <si>
    <t>46140</t>
  </si>
  <si>
    <t>XUSE</t>
  </si>
  <si>
    <t>5100 S Indianapolis Rd</t>
  </si>
  <si>
    <t>Whitestown</t>
  </si>
  <si>
    <t>46075</t>
  </si>
  <si>
    <t>IND1</t>
  </si>
  <si>
    <t>4255 Anson Blvd</t>
  </si>
  <si>
    <t>CMH3</t>
  </si>
  <si>
    <t>700 GATEWAY BLVD</t>
  </si>
  <si>
    <t>Monroe</t>
  </si>
  <si>
    <t>OH</t>
  </si>
  <si>
    <t>45050</t>
  </si>
  <si>
    <t>AKC1</t>
  </si>
  <si>
    <t>2450 ROMIG RD</t>
  </si>
  <si>
    <t>AKRON</t>
  </si>
  <si>
    <t>44320</t>
  </si>
  <si>
    <t>CLE3</t>
  </si>
  <si>
    <t>1155 Babbitt Road</t>
  </si>
  <si>
    <t>Euclid</t>
  </si>
  <si>
    <t>44132</t>
  </si>
  <si>
    <t>CLE2</t>
  </si>
  <si>
    <t>21500 Emery Rd</t>
  </si>
  <si>
    <t>North Randall</t>
  </si>
  <si>
    <t>44128</t>
  </si>
  <si>
    <t>PCW1</t>
  </si>
  <si>
    <t>27400 Crossroads Pkwy</t>
  </si>
  <si>
    <t>ROSSFORD</t>
  </si>
  <si>
    <t>43460</t>
  </si>
  <si>
    <t>CMH4</t>
  </si>
  <si>
    <t>1550 W. Main Street</t>
  </si>
  <si>
    <t>WEST JEFFERSON</t>
  </si>
  <si>
    <t>43162</t>
  </si>
  <si>
    <t>CMH6</t>
  </si>
  <si>
    <t>3538 TRADEPORT CT</t>
  </si>
  <si>
    <t>LOCKBOURNE</t>
  </si>
  <si>
    <t>43137</t>
  </si>
  <si>
    <t>CMH2</t>
  </si>
  <si>
    <t>6050 Gateway Court</t>
  </si>
  <si>
    <t>Groveport</t>
  </si>
  <si>
    <t>43125</t>
  </si>
  <si>
    <t>CMH1</t>
  </si>
  <si>
    <t>11999 National Road SW</t>
  </si>
  <si>
    <t>Etna</t>
  </si>
  <si>
    <t>43062</t>
  </si>
  <si>
    <t>CMH1-11999</t>
  </si>
  <si>
    <t>SDF1</t>
  </si>
  <si>
    <t>1050 South Columbia</t>
  </si>
  <si>
    <t>Campbellsville</t>
  </si>
  <si>
    <t>KY</t>
  </si>
  <si>
    <t>42718</t>
  </si>
  <si>
    <t>IVSB</t>
  </si>
  <si>
    <t>3521 POINT PLEASANT RD</t>
  </si>
  <si>
    <t>HEBRON</t>
  </si>
  <si>
    <t>41048</t>
  </si>
  <si>
    <t>CVG1</t>
  </si>
  <si>
    <t>1155 Worldwide Blvd</t>
  </si>
  <si>
    <t>Hebron</t>
  </si>
  <si>
    <t>CVG2</t>
  </si>
  <si>
    <t>1600 Worldwide Blvd</t>
  </si>
  <si>
    <t>CVG3</t>
  </si>
  <si>
    <t>3680 Langley Dr.</t>
  </si>
  <si>
    <t>CVG5</t>
  </si>
  <si>
    <t>2285 Litton Lane</t>
  </si>
  <si>
    <t>IVSA</t>
  </si>
  <si>
    <t>4620 Olympic Blvd</t>
  </si>
  <si>
    <t>Erlanger</t>
  </si>
  <si>
    <t>41018</t>
  </si>
  <si>
    <t>LEX1</t>
  </si>
  <si>
    <t>1850 Mercer RD</t>
  </si>
  <si>
    <t>Lexington</t>
  </si>
  <si>
    <t>40511</t>
  </si>
  <si>
    <t>LEX2</t>
  </si>
  <si>
    <t>172 Trade St.</t>
  </si>
  <si>
    <t>SDF2</t>
  </si>
  <si>
    <t>4360 Robards Ln</t>
  </si>
  <si>
    <t>Watterson Park</t>
  </si>
  <si>
    <t>40218</t>
  </si>
  <si>
    <t>SDF4</t>
  </si>
  <si>
    <t>376 Zappos.com Blvd</t>
  </si>
  <si>
    <t>Shepherdsville</t>
  </si>
  <si>
    <t>40165</t>
  </si>
  <si>
    <t>SDF6</t>
  </si>
  <si>
    <t>271 Omega Pkwy</t>
  </si>
  <si>
    <t>SDF7</t>
  </si>
  <si>
    <t>300 Omicron Court</t>
  </si>
  <si>
    <t>SDF9</t>
  </si>
  <si>
    <t>100 W. Thomas P. Echols Lane</t>
  </si>
  <si>
    <t>MEM6</t>
  </si>
  <si>
    <t>11505 Progress Way</t>
  </si>
  <si>
    <t>OLIVE BRANCH</t>
  </si>
  <si>
    <t>MS</t>
  </si>
  <si>
    <t>38654</t>
  </si>
  <si>
    <t>MEM2</t>
  </si>
  <si>
    <t>191 NORFOLK SOUTHERN WAY</t>
  </si>
  <si>
    <t>BYHALIA</t>
  </si>
  <si>
    <t>38611</t>
  </si>
  <si>
    <t>MEM4</t>
  </si>
  <si>
    <t>4055 NEW ALLEN RD</t>
  </si>
  <si>
    <t>MEMPHIS</t>
  </si>
  <si>
    <t>TN</t>
  </si>
  <si>
    <t>38128</t>
  </si>
  <si>
    <t>MEM1</t>
  </si>
  <si>
    <t>3292 E Holmes Rd</t>
  </si>
  <si>
    <t>Memphis</t>
  </si>
  <si>
    <t>38118</t>
  </si>
  <si>
    <t>CHA1</t>
  </si>
  <si>
    <t>7200 Discovery Drive</t>
  </si>
  <si>
    <t>Chattanooga</t>
  </si>
  <si>
    <t>37416</t>
  </si>
  <si>
    <t>CHA2</t>
  </si>
  <si>
    <t>225 Infinity Dr NW</t>
  </si>
  <si>
    <t>Charleston</t>
  </si>
  <si>
    <t>37310</t>
  </si>
  <si>
    <t>BNA4</t>
  </si>
  <si>
    <t>50 airways Blvd</t>
  </si>
  <si>
    <t>Nashville</t>
  </si>
  <si>
    <t>37217</t>
  </si>
  <si>
    <t>BNA3</t>
  </si>
  <si>
    <t>2020 Joe B Jackson Pkwy</t>
  </si>
  <si>
    <t>Murfreesboro</t>
  </si>
  <si>
    <t>37127</t>
  </si>
  <si>
    <t>BNA1</t>
  </si>
  <si>
    <t>14840 Central Pike Suite 190</t>
  </si>
  <si>
    <t>Lebanon</t>
  </si>
  <si>
    <t>37090</t>
  </si>
  <si>
    <t>BNA2</t>
  </si>
  <si>
    <t>500 Duke Dr</t>
  </si>
  <si>
    <t>SHV1</t>
  </si>
  <si>
    <t>7817 Greenbrier Road</t>
  </si>
  <si>
    <t>Madison</t>
  </si>
  <si>
    <t>AL</t>
  </si>
  <si>
    <t>35756</t>
  </si>
  <si>
    <t>HSV1</t>
  </si>
  <si>
    <t>MADISON</t>
  </si>
  <si>
    <t>BHM1</t>
  </si>
  <si>
    <t>975 Powder Plant Rd</t>
  </si>
  <si>
    <t>BESSEMER</t>
  </si>
  <si>
    <t>35022</t>
  </si>
  <si>
    <t>TPA6</t>
  </si>
  <si>
    <t>3400 NW 35th St Rd</t>
  </si>
  <si>
    <t>OCALA</t>
  </si>
  <si>
    <t>FL</t>
  </si>
  <si>
    <t>34475</t>
  </si>
  <si>
    <t>TPA3</t>
  </si>
  <si>
    <t>676 C Fred Jones Blvd</t>
  </si>
  <si>
    <t>Auburndale</t>
  </si>
  <si>
    <t>33823</t>
  </si>
  <si>
    <t>LAL1</t>
  </si>
  <si>
    <t>1760 County Line Rd.</t>
  </si>
  <si>
    <t>Lakeland</t>
  </si>
  <si>
    <t>33811</t>
  </si>
  <si>
    <t>TPA2</t>
  </si>
  <si>
    <t>1760 County Line Rd</t>
  </si>
  <si>
    <t>TPA1</t>
  </si>
  <si>
    <t>3350 Laurel Ridge Ave.</t>
  </si>
  <si>
    <t>Ruskin</t>
  </si>
  <si>
    <t>33570</t>
  </si>
  <si>
    <t>PBI2</t>
  </si>
  <si>
    <t>14490 CORPORATE RD N</t>
  </si>
  <si>
    <t>Jupiter</t>
  </si>
  <si>
    <t>33478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</si>
  <si>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</si>
  <si>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</si>
  <si>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</si>
  <si>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</si>
  <si>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</si>
  <si>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</si>
  <si>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</si>
  <si>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</si>
  <si>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MCO1</t>
  </si>
  <si>
    <t>12340 Boggy Creek Rd</t>
  </si>
  <si>
    <t>Orlando</t>
  </si>
  <si>
    <t>32824</t>
  </si>
  <si>
    <t>MCO2</t>
  </si>
  <si>
    <t>2600 N Normandy Blvd Deltona</t>
  </si>
  <si>
    <t>Deltona</t>
  </si>
  <si>
    <t>32725</t>
  </si>
  <si>
    <t>MC02</t>
  </si>
  <si>
    <t>2600 N Normandy Blvd</t>
  </si>
  <si>
    <t>JAX2</t>
  </si>
  <si>
    <t>12900 Pecan Park Road</t>
  </si>
  <si>
    <t>Jacksonville</t>
  </si>
  <si>
    <t>32218</t>
  </si>
  <si>
    <t>JAX7</t>
  </si>
  <si>
    <t>10501 Cold Storage Rd</t>
  </si>
  <si>
    <t>JACKSONVILLE</t>
  </si>
  <si>
    <t>JAX3</t>
  </si>
  <si>
    <t>13333 103rd Street</t>
  </si>
  <si>
    <t>32210</t>
  </si>
  <si>
    <t>SAV3</t>
  </si>
  <si>
    <t>7001 Skipper Rd,</t>
  </si>
  <si>
    <t>Macon</t>
  </si>
  <si>
    <t>GA</t>
  </si>
  <si>
    <t>31216</t>
  </si>
  <si>
    <t>MGE3</t>
  </si>
  <si>
    <t>808 Hog Mountain Road</t>
  </si>
  <si>
    <t>Jefferson</t>
  </si>
  <si>
    <t>30549</t>
  </si>
  <si>
    <t>MGE1</t>
  </si>
  <si>
    <t>650 Broadway Avenue</t>
  </si>
  <si>
    <t>Braselton</t>
  </si>
  <si>
    <t>30517</t>
  </si>
  <si>
    <t>ATL6</t>
  </si>
  <si>
    <t>4200 North Commerce</t>
  </si>
  <si>
    <t>East Point</t>
  </si>
  <si>
    <t>30344</t>
  </si>
  <si>
    <t>ATL7</t>
  </si>
  <si>
    <t>6855 Shannon Pkwy S</t>
  </si>
  <si>
    <t>UNION CITY</t>
  </si>
  <si>
    <t>30291</t>
  </si>
  <si>
    <t>XEW2</t>
  </si>
  <si>
    <t>6855 SHANNON PKWY</t>
  </si>
  <si>
    <t>VUAT</t>
  </si>
  <si>
    <t>6855 Shannon Pkwy</t>
  </si>
  <si>
    <t>CSG1</t>
  </si>
  <si>
    <t>280 BRIDGEPORT BLVD</t>
  </si>
  <si>
    <t>Moreland</t>
  </si>
  <si>
    <t>30259</t>
  </si>
  <si>
    <t>ATL8</t>
  </si>
  <si>
    <t>2201 Thornton Road</t>
  </si>
  <si>
    <t>Lithia Springs</t>
  </si>
  <si>
    <t>30122</t>
  </si>
  <si>
    <t>ATL2</t>
  </si>
  <si>
    <t>2255 W PARK PLACE BLVD</t>
  </si>
  <si>
    <t>STONE MOUNTAIN</t>
  </si>
  <si>
    <t>30087</t>
  </si>
  <si>
    <t>GSP1</t>
  </si>
  <si>
    <t>402 John Dodd Rd</t>
  </si>
  <si>
    <t>Spartanburg</t>
  </si>
  <si>
    <t>SC</t>
  </si>
  <si>
    <t>29303</t>
  </si>
  <si>
    <t>CAE1</t>
  </si>
  <si>
    <t>4400 12 Street Extension</t>
  </si>
  <si>
    <t>West Columbia</t>
  </si>
  <si>
    <t>29172</t>
  </si>
  <si>
    <t>CLT2</t>
  </si>
  <si>
    <t>10240 Old Dowd Rd</t>
  </si>
  <si>
    <t>Charlotte</t>
  </si>
  <si>
    <t>NC</t>
  </si>
  <si>
    <t>28214</t>
  </si>
  <si>
    <t>CLT4</t>
  </si>
  <si>
    <t>8000 TUCKASEEGEE RD</t>
  </si>
  <si>
    <t>CHARLOTTE</t>
  </si>
  <si>
    <t>CLT3</t>
  </si>
  <si>
    <t>6500 Davidson Hwy</t>
  </si>
  <si>
    <t>Concord</t>
  </si>
  <si>
    <t>28027</t>
  </si>
  <si>
    <t>RDU1</t>
  </si>
  <si>
    <t>4851 Jones Sausage Rd</t>
  </si>
  <si>
    <t>GARNER</t>
  </si>
  <si>
    <t>27529</t>
  </si>
  <si>
    <t>GSO1</t>
  </si>
  <si>
    <t>1656 OLD GREENSBORO RD</t>
  </si>
  <si>
    <t>KERNERSVILLE</t>
  </si>
  <si>
    <t>27284</t>
  </si>
  <si>
    <t>KRB2</t>
  </si>
  <si>
    <t>7000 HARDWARE D</t>
  </si>
  <si>
    <t>PRINCE GEORGE</t>
  </si>
  <si>
    <t>VA</t>
  </si>
  <si>
    <t>23875</t>
  </si>
  <si>
    <t>RIC2</t>
  </si>
  <si>
    <t>1901 Meadowville Technology Pkwy</t>
  </si>
  <si>
    <t>Chester</t>
  </si>
  <si>
    <t>23836</t>
  </si>
  <si>
    <t>RIC3</t>
  </si>
  <si>
    <t>across the street fm 1901 Meadowville Technology Parkway</t>
  </si>
  <si>
    <t>RIC1</t>
  </si>
  <si>
    <t>5000 Commerce Way</t>
  </si>
  <si>
    <t>Petersburg</t>
  </si>
  <si>
    <t>23803</t>
  </si>
  <si>
    <t>BWI4</t>
  </si>
  <si>
    <t>165 Business Blvd</t>
  </si>
  <si>
    <t>Clear Brook</t>
  </si>
  <si>
    <t>22624</t>
  </si>
  <si>
    <t>GGE8</t>
  </si>
  <si>
    <t>Muse Paintbar 2920 District Ave #100</t>
  </si>
  <si>
    <t>Fairfax</t>
  </si>
  <si>
    <t>22031</t>
  </si>
  <si>
    <t>MDT2</t>
  </si>
  <si>
    <t>600 Principio Parkway  West</t>
  </si>
  <si>
    <t>North East</t>
  </si>
  <si>
    <t>MD</t>
  </si>
  <si>
    <t>21901</t>
  </si>
  <si>
    <t>HGR2</t>
  </si>
  <si>
    <t>1115 Wesel Blvd</t>
  </si>
  <si>
    <t>Hagerstown</t>
  </si>
  <si>
    <t>21740</t>
  </si>
  <si>
    <t>BWI2</t>
  </si>
  <si>
    <t>2010 Broening Hwy</t>
  </si>
  <si>
    <t>Baltimore</t>
  </si>
  <si>
    <t>21224</t>
  </si>
  <si>
    <t>DCA6</t>
  </si>
  <si>
    <t>6001 Bethlehem Blvd</t>
  </si>
  <si>
    <t>BALTIMORE</t>
  </si>
  <si>
    <t>21219</t>
  </si>
  <si>
    <t>DCA1</t>
  </si>
  <si>
    <t>1700 Sparrows Point Boulevard</t>
  </si>
  <si>
    <t>Sparrows Point</t>
  </si>
  <si>
    <t>BWI1</t>
  </si>
  <si>
    <t>45121 Global Plaza</t>
  </si>
  <si>
    <t>Sterling</t>
  </si>
  <si>
    <t>20166</t>
  </si>
  <si>
    <t>PHL3</t>
  </si>
  <si>
    <t>1600 Johnson Way</t>
  </si>
  <si>
    <t>New Castle</t>
  </si>
  <si>
    <t>DE</t>
  </si>
  <si>
    <t>19720</t>
  </si>
  <si>
    <t>PHL1</t>
  </si>
  <si>
    <t>1 Centerpoint Blvd.</t>
  </si>
  <si>
    <t>ILG1</t>
  </si>
  <si>
    <t>780 S Dupont Hwy</t>
  </si>
  <si>
    <t>NEW CASTLE</t>
  </si>
  <si>
    <t>PHL7</t>
  </si>
  <si>
    <t>560 Merrimac Ave</t>
  </si>
  <si>
    <t>Middletown</t>
  </si>
  <si>
    <t>19709</t>
  </si>
  <si>
    <t>PHL8</t>
  </si>
  <si>
    <t>727 N Broad St</t>
  </si>
  <si>
    <t>RDG1</t>
  </si>
  <si>
    <t>3563 Mountain Road</t>
  </si>
  <si>
    <t>HAMBURG</t>
  </si>
  <si>
    <t>PA</t>
  </si>
  <si>
    <t>19526</t>
  </si>
  <si>
    <t>LFSI</t>
  </si>
  <si>
    <t>761 Fifth Ave</t>
  </si>
  <si>
    <t>King of Prussia</t>
  </si>
  <si>
    <t>19406</t>
  </si>
  <si>
    <t>VUGA</t>
  </si>
  <si>
    <t>508 Delaware Avenue West</t>
  </si>
  <si>
    <t>Pittston</t>
  </si>
  <si>
    <t>18643</t>
  </si>
  <si>
    <t>VUBA</t>
  </si>
  <si>
    <t>1000 Keystone Industrial Park</t>
  </si>
  <si>
    <t>Scranton</t>
  </si>
  <si>
    <t>18512</t>
  </si>
  <si>
    <t>AVP9</t>
  </si>
  <si>
    <t>45 Valley View Dr</t>
  </si>
  <si>
    <t>Jessup</t>
  </si>
  <si>
    <t>18434</t>
  </si>
  <si>
    <t>AVP3</t>
  </si>
  <si>
    <t>298 1ST AVE</t>
  </si>
  <si>
    <t>GOULDSBORO</t>
  </si>
  <si>
    <t>18424</t>
  </si>
  <si>
    <t>AVP1</t>
  </si>
  <si>
    <t>550 Oak Ridge Road</t>
  </si>
  <si>
    <t>Hazle Township</t>
  </si>
  <si>
    <t>18202</t>
  </si>
  <si>
    <t>ABE4</t>
  </si>
  <si>
    <t>1610 Van Buren Road,</t>
  </si>
  <si>
    <t>Easton</t>
  </si>
  <si>
    <t>18045</t>
  </si>
  <si>
    <t>ABE2</t>
  </si>
  <si>
    <t>705 Boulder Drive</t>
  </si>
  <si>
    <t>Breinigsville</t>
  </si>
  <si>
    <t>18031</t>
  </si>
  <si>
    <t>ABE3</t>
  </si>
  <si>
    <t>650 Boulder Drive</t>
  </si>
  <si>
    <t>PHL5</t>
  </si>
  <si>
    <t>500 McCarthy Dr</t>
  </si>
  <si>
    <t>Lewisberry</t>
  </si>
  <si>
    <t>17339</t>
  </si>
  <si>
    <t>ABE5</t>
  </si>
  <si>
    <t>6455 Allentown Boulevard</t>
  </si>
  <si>
    <t>Harrisburg</t>
  </si>
  <si>
    <t>17112</t>
  </si>
  <si>
    <t>PHL6</t>
  </si>
  <si>
    <t>675 Allen Rd.</t>
  </si>
  <si>
    <t>Carlisle</t>
  </si>
  <si>
    <t>17015</t>
  </si>
  <si>
    <t>MDT1</t>
  </si>
  <si>
    <t>2 Ames Drive</t>
  </si>
  <si>
    <t>PHL4</t>
  </si>
  <si>
    <t>21 Roadway Dr</t>
  </si>
  <si>
    <t>XUSC</t>
  </si>
  <si>
    <t>40 Logistics Drive</t>
  </si>
  <si>
    <t>17013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</si>
  <si>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</si>
  <si>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</si>
  <si>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</si>
  <si>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</si>
  <si>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</si>
  <si>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</si>
  <si>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</si>
  <si>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</t>
  </si>
  <si>
    <t>SWF1</t>
  </si>
  <si>
    <t>635 INTERNATIONAL BLVD</t>
  </si>
  <si>
    <t>ROCK TAVERN</t>
  </si>
  <si>
    <t>NY</t>
  </si>
  <si>
    <t>12575</t>
  </si>
  <si>
    <t>ALB1</t>
  </si>
  <si>
    <t>1835 US Route 9</t>
  </si>
  <si>
    <t>Castleton</t>
  </si>
  <si>
    <t>12033</t>
  </si>
  <si>
    <t>GGE2</t>
  </si>
  <si>
    <t>Muse Paintbar 134 Main Street Port</t>
  </si>
  <si>
    <t>11777</t>
  </si>
  <si>
    <t>GGE5</t>
  </si>
  <si>
    <t>Muse Paintbar 837 Franklin Avenue</t>
  </si>
  <si>
    <t>Garden City</t>
  </si>
  <si>
    <t>11530</t>
  </si>
  <si>
    <t>GGE4</t>
  </si>
  <si>
    <t>Muse Paintbar 34 Middle Neck Road</t>
  </si>
  <si>
    <t>Great Neck</t>
  </si>
  <si>
    <t>11021</t>
  </si>
  <si>
    <t>GGE6</t>
  </si>
  <si>
    <t>Muse Paintbar 265 Market Street #2040</t>
  </si>
  <si>
    <t>Yonker</t>
  </si>
  <si>
    <t>10710</t>
  </si>
  <si>
    <t>JFK8</t>
  </si>
  <si>
    <t>546 Gulf Avenue</t>
  </si>
  <si>
    <t>Staten Island</t>
  </si>
  <si>
    <t>10314</t>
  </si>
  <si>
    <t>GGE7</t>
  </si>
  <si>
    <t>Muse Paintbar 329 Greenwich Street</t>
  </si>
  <si>
    <t>New York</t>
  </si>
  <si>
    <t>10013</t>
  </si>
  <si>
    <t>QXY9</t>
  </si>
  <si>
    <t>36900 W FOURTH ST</t>
  </si>
  <si>
    <t>BEAUMONT</t>
  </si>
  <si>
    <t>92223</t>
  </si>
  <si>
    <t>ORF2-23297</t>
  </si>
  <si>
    <t>Amazon.com Services Inc.</t>
  </si>
  <si>
    <t>9603 Coach Road</t>
  </si>
  <si>
    <t>Richmond</t>
  </si>
  <si>
    <t>OLM1</t>
  </si>
  <si>
    <t>3300 HOGUM BAY RD NE</t>
  </si>
  <si>
    <t>OLYMPIA</t>
  </si>
  <si>
    <t>98516-3111</t>
  </si>
  <si>
    <t>MCE1</t>
  </si>
  <si>
    <t>3200 Fulkerth Road</t>
  </si>
  <si>
    <t>TURLOCK</t>
  </si>
  <si>
    <t>95380</t>
  </si>
  <si>
    <t>VGT2</t>
  </si>
  <si>
    <t>6401 Howdy Wells Ave</t>
  </si>
  <si>
    <t>CHO1</t>
  </si>
  <si>
    <t>32 Trader Rd</t>
  </si>
  <si>
    <t>Fishersville</t>
  </si>
  <si>
    <t>22939</t>
  </si>
  <si>
    <t>MDT4</t>
  </si>
  <si>
    <t>5125 Commerce Dr</t>
  </si>
  <si>
    <t>York</t>
  </si>
  <si>
    <t>17408</t>
  </si>
  <si>
    <t>AMA1</t>
  </si>
  <si>
    <t>8590 NE 24th Avenue</t>
  </si>
  <si>
    <t>AMARILLO</t>
  </si>
  <si>
    <t>79108</t>
  </si>
  <si>
    <t>BFL2</t>
  </si>
  <si>
    <t>4500 Express Ave</t>
  </si>
  <si>
    <t>Shafter</t>
  </si>
  <si>
    <t>93263</t>
  </si>
  <si>
    <t>SWF2</t>
  </si>
  <si>
    <t>76 Patriot Way</t>
  </si>
  <si>
    <t>Hopewell Junction</t>
  </si>
  <si>
    <t>12533</t>
  </si>
  <si>
    <t>IUSJ</t>
  </si>
  <si>
    <t>6900 West 4th Street</t>
  </si>
  <si>
    <t>IAH3</t>
  </si>
  <si>
    <t>15525 Milner Road</t>
  </si>
  <si>
    <t>HOUSTON</t>
  </si>
  <si>
    <t>77032</t>
  </si>
  <si>
    <t>SCK8</t>
  </si>
  <si>
    <t>4700 WILBUR AVE</t>
  </si>
  <si>
    <t>OAKLEY</t>
  </si>
  <si>
    <t>RDU2</t>
  </si>
  <si>
    <t>2150 US HWY 70 Business West</t>
  </si>
  <si>
    <t>SMITHFIELD</t>
  </si>
  <si>
    <t>27577</t>
  </si>
  <si>
    <t>ORF2</t>
  </si>
  <si>
    <t>5045 Portsmouth Blvd</t>
  </si>
  <si>
    <t>Chesapeake</t>
  </si>
  <si>
    <t>23321</t>
  </si>
  <si>
    <t>RMN3</t>
  </si>
  <si>
    <t>220 Centreport Parkway</t>
  </si>
  <si>
    <t>FREDERICKSBURG</t>
  </si>
  <si>
    <t>22406</t>
  </si>
  <si>
    <t>CLT6</t>
  </si>
  <si>
    <t>Carolina Logistics Dr</t>
  </si>
  <si>
    <t>Pineville</t>
  </si>
  <si>
    <t>28134</t>
  </si>
  <si>
    <t>MCI3</t>
  </si>
  <si>
    <t>2361 S Withers Rd</t>
  </si>
  <si>
    <t>Liberty</t>
  </si>
  <si>
    <t>64068</t>
  </si>
  <si>
    <t>RIC3-23234</t>
  </si>
  <si>
    <t>4949 Commerce Rd RICHMOND</t>
  </si>
  <si>
    <t>Chesterfield</t>
  </si>
  <si>
    <t>23234</t>
  </si>
  <si>
    <t>RDU4</t>
  </si>
  <si>
    <t>6309 Bragg Blvd</t>
  </si>
  <si>
    <t>FAYETTEVILLE</t>
  </si>
  <si>
    <t>28303</t>
  </si>
  <si>
    <t>LBE1</t>
  </si>
  <si>
    <t>165 GLENN FOX RD</t>
  </si>
  <si>
    <t>NEW STANTON</t>
  </si>
  <si>
    <t>15672</t>
  </si>
  <si>
    <t>LAN2</t>
  </si>
  <si>
    <t>6500 W Mt Hope Hwy</t>
  </si>
  <si>
    <t>LANSING</t>
  </si>
  <si>
    <t>48917</t>
  </si>
  <si>
    <t>AKR1</t>
  </si>
  <si>
    <t>4747 Rebar Ave NE</t>
  </si>
  <si>
    <t>CANTON</t>
  </si>
  <si>
    <t>44705</t>
  </si>
  <si>
    <t>ABQ2</t>
  </si>
  <si>
    <t>6251 Pioneer Trail NW</t>
  </si>
  <si>
    <t>LOS LUNAS</t>
  </si>
  <si>
    <t>NM</t>
  </si>
  <si>
    <t>87031</t>
  </si>
  <si>
    <t>TMB8</t>
  </si>
  <si>
    <t>27505 SW 132nd AVE</t>
  </si>
  <si>
    <t>HOMESTEAD</t>
  </si>
  <si>
    <t>33032</t>
  </si>
  <si>
    <t>BNA6</t>
  </si>
  <si>
    <t>3875 GUTHRIE HWY</t>
  </si>
  <si>
    <t>CLARKSVILLE</t>
  </si>
  <si>
    <t>37040</t>
  </si>
  <si>
    <t>PSC2</t>
  </si>
  <si>
    <t>1351 S Road 40 E</t>
  </si>
  <si>
    <t>PASCO</t>
  </si>
  <si>
    <t>99301</t>
  </si>
  <si>
    <t>WBW2</t>
  </si>
  <si>
    <t>1300 Corporate Way</t>
  </si>
  <si>
    <t>OLYPHANT</t>
  </si>
  <si>
    <t>18447</t>
  </si>
  <si>
    <t>PSC2-97242</t>
  </si>
  <si>
    <t>9930 NE Alderwood Rd</t>
  </si>
  <si>
    <t>97242</t>
  </si>
  <si>
    <t>PBI3</t>
  </si>
  <si>
    <t>7600 LTC Parkway</t>
  </si>
  <si>
    <t>PORT SAINT LUCIE</t>
  </si>
  <si>
    <t>RYY2</t>
  </si>
  <si>
    <t>1250 Cassville White Road</t>
  </si>
  <si>
    <t>White</t>
  </si>
  <si>
    <t>HGR6</t>
  </si>
  <si>
    <t>55 West Oak Ridge Drive</t>
  </si>
  <si>
    <t>HAGERSTOWN</t>
  </si>
  <si>
    <t>HIA1</t>
  </si>
  <si>
    <t>3327 E Harrisburg Pik</t>
  </si>
  <si>
    <t>MIDDLETOWN</t>
  </si>
  <si>
    <t>17057</t>
  </si>
  <si>
    <t>MIT2</t>
  </si>
  <si>
    <t>5408 Express Avenue</t>
  </si>
  <si>
    <t>SHAFTER</t>
  </si>
  <si>
    <t>GEU3</t>
  </si>
  <si>
    <t>18900 W McDowell Road</t>
  </si>
  <si>
    <t>BUCKEYE</t>
  </si>
  <si>
    <t>XLX1</t>
  </si>
  <si>
    <t>XLG1</t>
  </si>
  <si>
    <t>1901 California St</t>
  </si>
  <si>
    <t>JOT1</t>
  </si>
  <si>
    <t>QXY5</t>
  </si>
  <si>
    <t>IUSQ</t>
  </si>
  <si>
    <t>2125 W San Bernardino Ave</t>
  </si>
  <si>
    <t>REDLANDS</t>
  </si>
  <si>
    <t>GEU5</t>
  </si>
  <si>
    <t>4660 North Cotton Lane</t>
  </si>
  <si>
    <t>GEU2</t>
  </si>
  <si>
    <t>15301 West Northern Avenue</t>
  </si>
  <si>
    <t>Glendale</t>
  </si>
  <si>
    <t>85340</t>
  </si>
  <si>
    <t>IUSF</t>
  </si>
  <si>
    <t>3351 Balmorhea Dr</t>
  </si>
  <si>
    <t>LAN2-49509</t>
  </si>
  <si>
    <t>5801 Clyde Park Ave Sw</t>
  </si>
  <si>
    <t>Wyoming</t>
  </si>
  <si>
    <t>49509</t>
  </si>
  <si>
    <t>BNA6-37207</t>
  </si>
  <si>
    <t>3207 Whites Creek Pike</t>
  </si>
  <si>
    <t>37207</t>
  </si>
  <si>
    <t>RFD2</t>
  </si>
  <si>
    <t>11500 Freeman Road</t>
  </si>
  <si>
    <t>HUNTLEY</t>
  </si>
  <si>
    <t>RFD4</t>
  </si>
  <si>
    <t>11400 Venture Court</t>
  </si>
  <si>
    <t>MEM8</t>
  </si>
  <si>
    <t>850 GATEWAY GLOBAL DR</t>
  </si>
  <si>
    <t>GEU2-85307</t>
  </si>
  <si>
    <t>15301 WEST NORTHERN AVENUE</t>
  </si>
  <si>
    <t>GLENDALE</t>
  </si>
  <si>
    <t>PBI3-32206</t>
  </si>
  <si>
    <t>21 Jump Street</t>
  </si>
  <si>
    <t>RYY2-30325</t>
  </si>
  <si>
    <t>Atlanta</t>
  </si>
  <si>
    <t>IUSP</t>
  </si>
  <si>
    <t>8140 Caliente Rd</t>
  </si>
  <si>
    <t>HESPERIA</t>
  </si>
  <si>
    <t>30325</t>
  </si>
  <si>
    <t>32206</t>
  </si>
  <si>
    <t>85307</t>
  </si>
  <si>
    <t>60142</t>
  </si>
  <si>
    <t>PPO4</t>
  </si>
  <si>
    <t>9850 Mississippi Street</t>
  </si>
  <si>
    <t>Crown Point</t>
  </si>
  <si>
    <t>TMB8-33055</t>
  </si>
  <si>
    <t>8675309 Jenny Lane</t>
  </si>
  <si>
    <t>Miami Gardens</t>
  </si>
  <si>
    <t>33055</t>
  </si>
  <si>
    <t>POC1</t>
  </si>
  <si>
    <t>4121 LYTLE CREEK RD</t>
  </si>
  <si>
    <t>92336</t>
  </si>
  <si>
    <t>POC3</t>
  </si>
  <si>
    <t>6120 Clinker Drive</t>
  </si>
  <si>
    <t>JURUPA VALLEY</t>
  </si>
  <si>
    <t>92509</t>
  </si>
  <si>
    <t>LAX1</t>
  </si>
  <si>
    <t>6750 Kimball Ave</t>
  </si>
  <si>
    <t>91708</t>
  </si>
  <si>
    <t>LAX2</t>
  </si>
  <si>
    <t>6730 Kimball Ave</t>
  </si>
  <si>
    <t>ABQ2-85395</t>
  </si>
  <si>
    <t>16601 W. SELLS DRIVE</t>
  </si>
  <si>
    <t>VGT2-92518</t>
  </si>
  <si>
    <t>20701 Krameria Avenue</t>
  </si>
  <si>
    <t>March Air Reserve Base</t>
  </si>
  <si>
    <t>RMN3-17057</t>
  </si>
  <si>
    <t>2112 N Union Street</t>
  </si>
  <si>
    <t>LBE1-15605</t>
  </si>
  <si>
    <t>165 Glen Fox Road,</t>
  </si>
  <si>
    <t>Greensburg</t>
  </si>
  <si>
    <t>15605</t>
  </si>
  <si>
    <t>WBW2-18348</t>
  </si>
  <si>
    <t>Pocono Lake Preserve</t>
  </si>
  <si>
    <t>18348</t>
  </si>
  <si>
    <t>MIT2-93291</t>
  </si>
  <si>
    <t>3256 N Plaza Dr</t>
  </si>
  <si>
    <t>Visalia</t>
  </si>
  <si>
    <t>POC3-92508</t>
  </si>
  <si>
    <t>6120 Clinker Dr</t>
  </si>
  <si>
    <t>92508</t>
  </si>
  <si>
    <t>HLI2</t>
  </si>
  <si>
    <t>600 Ernie Drive</t>
  </si>
  <si>
    <t>HOLLISTER</t>
  </si>
  <si>
    <t>95023</t>
  </si>
  <si>
    <t>TCY2</t>
  </si>
  <si>
    <t>6201 Newcastle Rd</t>
  </si>
  <si>
    <t>TCY1</t>
  </si>
  <si>
    <t>2690 East Arch Airport Road</t>
  </si>
  <si>
    <t>IUSR</t>
  </si>
  <si>
    <t>1120 Mt Olive Rd</t>
  </si>
  <si>
    <t>COWPENS</t>
  </si>
  <si>
    <t>IUST</t>
  </si>
  <si>
    <t>15651 Greenmount Rd</t>
  </si>
  <si>
    <t>GREENCASTLE</t>
  </si>
  <si>
    <t>IUSL</t>
  </si>
  <si>
    <t>600 PRINCIPIO PKWY W</t>
  </si>
  <si>
    <t>NORTH EAST</t>
  </si>
  <si>
    <t>POC2</t>
  </si>
  <si>
    <t>4000 South Hamner Avenue</t>
  </si>
  <si>
    <t>ONTARIO</t>
  </si>
  <si>
    <t>HEA2</t>
  </si>
  <si>
    <t>650 BOULDER DR Suite A</t>
  </si>
  <si>
    <t>BREINIGSVILLE</t>
  </si>
  <si>
    <t>18031-1536</t>
  </si>
  <si>
    <t>XAV3</t>
  </si>
  <si>
    <t>120 Crossgate Rd</t>
  </si>
  <si>
    <t>Port Wentworth</t>
  </si>
  <si>
    <t>IUTI</t>
  </si>
  <si>
    <t>92374-5015</t>
  </si>
  <si>
    <t>IUSW</t>
  </si>
  <si>
    <t>8130 CalienteRd</t>
  </si>
  <si>
    <t>Hesperia</t>
  </si>
  <si>
    <t>IUTE</t>
  </si>
  <si>
    <t>16155 WElwood St</t>
  </si>
  <si>
    <t>ATL1</t>
  </si>
  <si>
    <t>Walmart</t>
  </si>
  <si>
    <t>6055 S FULTON PKWY</t>
  </si>
  <si>
    <t>ATLANTA</t>
  </si>
  <si>
    <t>ATL3</t>
  </si>
  <si>
    <t>6055 S Fulton Pkwy</t>
  </si>
  <si>
    <t>DFW2n</t>
  </si>
  <si>
    <t>DFW2N</t>
  </si>
  <si>
    <t>Walmart-DFW2n</t>
  </si>
  <si>
    <t>15101 N BEACH ST</t>
  </si>
  <si>
    <t>DFW5s</t>
  </si>
  <si>
    <t>DFW5S</t>
  </si>
  <si>
    <t>Walmart-DFW5s</t>
  </si>
  <si>
    <t>2500 E Belt Line Rd</t>
  </si>
  <si>
    <t>Lancaster</t>
  </si>
  <si>
    <t>75146</t>
  </si>
  <si>
    <t>IND2n</t>
  </si>
  <si>
    <t>IND2N</t>
  </si>
  <si>
    <t>Walmart-IND2n</t>
  </si>
  <si>
    <t>9360 AllPoints Pkwy. Suite 162</t>
  </si>
  <si>
    <t>KY1</t>
  </si>
  <si>
    <t>Walmart-KY1</t>
  </si>
  <si>
    <t>120 VELOCITY WAY</t>
  </si>
  <si>
    <t>SHEPHERDSVILLE</t>
  </si>
  <si>
    <t>MCI1n</t>
  </si>
  <si>
    <t>MCI1N</t>
  </si>
  <si>
    <t>Walmart-MCI1n</t>
  </si>
  <si>
    <t>1303 Sw Innovation Pkway</t>
  </si>
  <si>
    <t>TOPEKA</t>
  </si>
  <si>
    <t>66619</t>
  </si>
  <si>
    <t>MCO1s</t>
  </si>
  <si>
    <t>MCO1S</t>
  </si>
  <si>
    <t>Walmart-MCO1s</t>
  </si>
  <si>
    <t>5100 NORTH RIDGE TRAIL</t>
  </si>
  <si>
    <t>DAVENPORT</t>
  </si>
  <si>
    <t>33897</t>
  </si>
  <si>
    <t>MEM1s</t>
  </si>
  <si>
    <t>MEM1S</t>
  </si>
  <si>
    <t>Walmart-MEM1s</t>
  </si>
  <si>
    <t>10480 Marina Drive</t>
  </si>
  <si>
    <t>Olive Branch</t>
  </si>
  <si>
    <t>NJ3</t>
  </si>
  <si>
    <t>Walmart-NJ3</t>
  </si>
  <si>
    <t>3 SORBELLO WAY</t>
  </si>
  <si>
    <t>PEDRICKTOWN</t>
  </si>
  <si>
    <t>08067</t>
  </si>
  <si>
    <t>ORD1s</t>
  </si>
  <si>
    <t>ORD1S</t>
  </si>
  <si>
    <t>Walmart-ORD1s</t>
  </si>
  <si>
    <t>3501 BRANDON ROAD</t>
  </si>
  <si>
    <t>JOLIET</t>
  </si>
  <si>
    <t>60436</t>
  </si>
  <si>
    <t>PHL1s</t>
  </si>
  <si>
    <t>PHL1S</t>
  </si>
  <si>
    <t>Walmart-PHL1s</t>
  </si>
  <si>
    <t>3215 COMMERCE CENTER BLVD</t>
  </si>
  <si>
    <t>BETHLEHEM</t>
  </si>
  <si>
    <t>18015</t>
  </si>
  <si>
    <t>PHL4n</t>
  </si>
  <si>
    <t>PHL4N</t>
  </si>
  <si>
    <t>Walmart-PHL4n</t>
  </si>
  <si>
    <t>1410 UNITED DR</t>
  </si>
  <si>
    <t>SHIPPENSBURG</t>
  </si>
  <si>
    <t>17257</t>
  </si>
  <si>
    <t>PHL5s</t>
  </si>
  <si>
    <t>PHL5S</t>
  </si>
  <si>
    <t>Walmart-PHL5s</t>
  </si>
  <si>
    <t>1915 EBBERTS SPG</t>
  </si>
  <si>
    <t>17225</t>
  </si>
  <si>
    <t>PHX1</t>
  </si>
  <si>
    <t>Walmart-PHX1</t>
  </si>
  <si>
    <t>6600 N SARIVAL AVE</t>
  </si>
  <si>
    <t>LITCHFIELD PARK</t>
  </si>
  <si>
    <t>XPB2</t>
  </si>
  <si>
    <t>4661 Apopka Logistics Pkwy</t>
  </si>
  <si>
    <t>Apopka</t>
  </si>
  <si>
    <t>32712</t>
  </si>
  <si>
    <t>Walmart-IND3</t>
  </si>
  <si>
    <t>WALMART-IND3</t>
  </si>
  <si>
    <t>5756 Enterprise Dr</t>
  </si>
  <si>
    <t>Mccordsville</t>
  </si>
  <si>
    <t>46055</t>
  </si>
  <si>
    <t>QXY8</t>
  </si>
  <si>
    <t>3611 S NORTHPOINTE DR</t>
  </si>
  <si>
    <t>93725-1962</t>
  </si>
  <si>
    <t>Walmart-DFW6</t>
  </si>
  <si>
    <t>WALMART-DFW6</t>
  </si>
  <si>
    <t>14700 Blue Mound Rd</t>
  </si>
  <si>
    <t>Haslet</t>
  </si>
  <si>
    <t>IUTH</t>
  </si>
  <si>
    <t>1346 Fortuna Rd</t>
  </si>
  <si>
    <t>XEW5</t>
  </si>
  <si>
    <t>995 Taylors Ln</t>
  </si>
  <si>
    <t>Cinnaminson</t>
  </si>
  <si>
    <t>08077</t>
  </si>
  <si>
    <t>MCC1</t>
  </si>
  <si>
    <t>3300 Rancho Cordova Pkwy</t>
  </si>
  <si>
    <t>Rancho Cordova</t>
  </si>
  <si>
    <t>HSV2</t>
  </si>
  <si>
    <t>28869 Fanning Dr NW</t>
  </si>
  <si>
    <t>HLI2-94621</t>
  </si>
  <si>
    <t>8410 Pardee Dr</t>
  </si>
  <si>
    <t>Oakland</t>
  </si>
  <si>
    <t>PSP3</t>
  </si>
  <si>
    <t>64165 19th AVE</t>
  </si>
  <si>
    <t>DESERT HOT SPRINGS</t>
  </si>
  <si>
    <t>AFW5</t>
  </si>
  <si>
    <t>12374 LAKE JUNE RD</t>
  </si>
  <si>
    <t>BALCH SPRINGS</t>
  </si>
  <si>
    <t>德国亚马逊地址</t>
  </si>
  <si>
    <t>LEJ1</t>
  </si>
  <si>
    <t>Amazon Fulfillment Center</t>
  </si>
  <si>
    <t>Amazonstrasse 1 04347 Leipzig</t>
  </si>
  <si>
    <t>Leipzig</t>
  </si>
  <si>
    <t>Saxony</t>
  </si>
  <si>
    <t>04347</t>
  </si>
  <si>
    <t>FRA3</t>
  </si>
  <si>
    <t>Amazonstrasse 1 36251 Bad Hersfeld</t>
  </si>
  <si>
    <t>Bad Hersfeld</t>
  </si>
  <si>
    <t>Hesse</t>
  </si>
  <si>
    <t>36251</t>
  </si>
  <si>
    <t>EDE5</t>
  </si>
  <si>
    <t>Werne Wahrbrink 23 59368 Werne</t>
  </si>
  <si>
    <t>Werne</t>
  </si>
  <si>
    <t>North Rhine-Westphalia</t>
  </si>
  <si>
    <t>59368</t>
  </si>
  <si>
    <t>EDE4</t>
  </si>
  <si>
    <t>Werne Wahrbrink 25 59368 Werne</t>
  </si>
  <si>
    <t>EDEA</t>
  </si>
  <si>
    <t>Warmbreitbandstr. 3 Dortmund</t>
  </si>
  <si>
    <t>Dortmund</t>
  </si>
  <si>
    <t>North Rhine Westphalia</t>
  </si>
  <si>
    <t>44145</t>
  </si>
  <si>
    <t>MUC3</t>
  </si>
  <si>
    <t>Amazonstraße 1 /Zeppelinstraße 2, D-86835 Graben</t>
  </si>
  <si>
    <t>Graben</t>
  </si>
  <si>
    <t>Bayern</t>
  </si>
  <si>
    <t>86836</t>
  </si>
  <si>
    <t>DUS2</t>
  </si>
  <si>
    <t>Amazonstrasse 1 47495 Rheinberg</t>
  </si>
  <si>
    <t>Rheinberg</t>
  </si>
  <si>
    <t>Nordrhein-Westfalen</t>
  </si>
  <si>
    <t>47495</t>
  </si>
  <si>
    <t>DUS4</t>
  </si>
  <si>
    <t>Hamburgring 10</t>
  </si>
  <si>
    <t>Rheindahlen</t>
  </si>
  <si>
    <t>Monchengladbach</t>
  </si>
  <si>
    <t>41179</t>
  </si>
  <si>
    <t>FRA1</t>
  </si>
  <si>
    <t>Am Schloß Eichhof 136251 Bad Hersfeld</t>
  </si>
  <si>
    <t>Bad Herfeld</t>
  </si>
  <si>
    <t>BER3</t>
  </si>
  <si>
    <t>Havellandstraße 5,14656 Brieselang</t>
  </si>
  <si>
    <t>Brieselang</t>
  </si>
  <si>
    <t>Brandenburg</t>
  </si>
  <si>
    <t>14656</t>
  </si>
  <si>
    <t>CGN1</t>
  </si>
  <si>
    <t>Amazonstrasse 1 Industriepark A61 ,Kobern-Gondorf, Rheinland - Pfalz 56330</t>
  </si>
  <si>
    <t>Kobern-Gondorf</t>
  </si>
  <si>
    <t>Rhineland-Palatinate</t>
  </si>
  <si>
    <t>56330</t>
  </si>
  <si>
    <t>WRO2</t>
  </si>
  <si>
    <t>Rheinstrasse 40, 90451 Nürnberg</t>
  </si>
  <si>
    <t>Nürnberg</t>
  </si>
  <si>
    <t>Rheinstrasse</t>
  </si>
  <si>
    <t>90451</t>
  </si>
  <si>
    <t>PRG2</t>
  </si>
  <si>
    <t>Am Wald 1 16515 Oranienburg Germany（PRG2）</t>
  </si>
  <si>
    <t>Oranienburg</t>
  </si>
  <si>
    <t>16515</t>
  </si>
  <si>
    <t>WRO1</t>
  </si>
  <si>
    <t>Am Zeugamt 6</t>
  </si>
  <si>
    <t>Oschatz</t>
  </si>
  <si>
    <t>04758</t>
  </si>
  <si>
    <t>KTW1</t>
  </si>
  <si>
    <t>Hamburger Str. 99 90451 Nuernberg DE</t>
  </si>
  <si>
    <t>Nuernberg</t>
  </si>
  <si>
    <t>Bavaria</t>
  </si>
  <si>
    <t>LCJ2</t>
  </si>
  <si>
    <t>STR1</t>
  </si>
  <si>
    <t>EU Amazonstrasse 1 Pforzheim, Baden-Wurttemberg 75177</t>
  </si>
  <si>
    <t>Pforzheim</t>
  </si>
  <si>
    <t>Baden-Wurttemberg</t>
  </si>
  <si>
    <t>75177</t>
  </si>
  <si>
    <t>HAM2</t>
  </si>
  <si>
    <t>Borgwardstrasse 10 
Winsen an der Luhe, Lower Saxony 21423DE</t>
  </si>
  <si>
    <t>Winsen an der Luhe</t>
  </si>
  <si>
    <t>Lower Saxony</t>
  </si>
  <si>
    <t>21423</t>
  </si>
  <si>
    <t>DTM2</t>
  </si>
  <si>
    <t>Kaltbandstrasse 4</t>
  </si>
  <si>
    <t>DTM1</t>
  </si>
  <si>
    <t>Raiffeisenstrasse 7 59368 Werne a.d.Lippe Germany</t>
  </si>
  <si>
    <t>HAM8</t>
  </si>
  <si>
    <t>Halstenbeker Weg 98C 25462 Rellingen,Germany</t>
  </si>
  <si>
    <t>Rellingen</t>
  </si>
  <si>
    <t>25462</t>
  </si>
  <si>
    <t>POZ1</t>
  </si>
  <si>
    <t>Hamburger Str. 99</t>
  </si>
  <si>
    <t>LCJ3</t>
  </si>
  <si>
    <t>Amazon Fulfilment Center</t>
  </si>
  <si>
    <t>KG Spedition</t>
  </si>
  <si>
    <t>BRE4</t>
  </si>
  <si>
    <t>Max-Naumann-Strasse 1</t>
  </si>
  <si>
    <t>Achim</t>
  </si>
  <si>
    <t>Niedersachsen</t>
  </si>
  <si>
    <t>28832</t>
  </si>
  <si>
    <t>HAJ1</t>
  </si>
  <si>
    <t>Zur Alten Molkerei 1</t>
  </si>
  <si>
    <t>Helmstedt</t>
  </si>
  <si>
    <t>38350</t>
  </si>
  <si>
    <t>XSC1</t>
  </si>
  <si>
    <t>Hans-Geiger-Strasse 7</t>
  </si>
  <si>
    <t>Kaiserslautern</t>
  </si>
  <si>
    <t>67661</t>
  </si>
  <si>
    <t>LEJ3</t>
  </si>
  <si>
    <t>Bielefelder Str. 9</t>
  </si>
  <si>
    <t>Sulzetal</t>
  </si>
  <si>
    <t>Saxony-Anhalt</t>
  </si>
  <si>
    <t>39171</t>
  </si>
  <si>
    <t>BER8</t>
  </si>
  <si>
    <t>Am Möllenpfuhl 2</t>
  </si>
  <si>
    <t>Schönefeld</t>
  </si>
  <si>
    <t>12529</t>
  </si>
  <si>
    <t>XWR3</t>
  </si>
  <si>
    <t>XPO1</t>
  </si>
  <si>
    <t>MHG9</t>
  </si>
  <si>
    <t>Ossenheimer Straße 7</t>
  </si>
  <si>
    <t>Kleinostheim</t>
  </si>
  <si>
    <t>KSF7</t>
  </si>
  <si>
    <t>Otto-Hahn-Strasse 3</t>
  </si>
  <si>
    <t>Wolfhagen</t>
  </si>
  <si>
    <t>DTM9/ITM9</t>
  </si>
  <si>
    <t>0000000000</t>
  </si>
  <si>
    <t>Brauckstraße 30</t>
  </si>
  <si>
    <t>/</t>
  </si>
  <si>
    <t>MHG9/IDU4</t>
  </si>
  <si>
    <t>KTW5</t>
  </si>
  <si>
    <t>0schatz</t>
  </si>
  <si>
    <t>WRO5</t>
  </si>
  <si>
    <t>Nardter Weg 2</t>
  </si>
  <si>
    <t>Hoyerswerda</t>
  </si>
  <si>
    <t>02977</t>
  </si>
  <si>
    <t>XDU5</t>
  </si>
  <si>
    <t>Steinmuhle 1</t>
  </si>
  <si>
    <t>Logistikpark</t>
  </si>
  <si>
    <t>Diemelstadt</t>
  </si>
  <si>
    <t>RLG1</t>
  </si>
  <si>
    <t>Gewerbepark Ostsee 3</t>
  </si>
  <si>
    <t>Mecklenburg-Vorpommern</t>
  </si>
  <si>
    <t>Dummerstorf</t>
  </si>
  <si>
    <t>意大利亚马逊地址</t>
  </si>
  <si>
    <t>MXP5</t>
  </si>
  <si>
    <t>Amazon Italia Logistica S.r.l Strada Dogana Po, 2U 29015 Castel San Giovanni (PC)，Italy</t>
  </si>
  <si>
    <t>Castel San Giovanni</t>
  </si>
  <si>
    <t>IT</t>
  </si>
  <si>
    <t>29015</t>
  </si>
  <si>
    <t>FCO1</t>
  </si>
  <si>
    <t>Am azon Fulfillm ent Center V ia della M eccanica snc 02032 Passo Corese RI</t>
  </si>
  <si>
    <t>Passo Corese RI</t>
  </si>
  <si>
    <t>02032</t>
  </si>
  <si>
    <t>MXP3</t>
  </si>
  <si>
    <t>Via Rita Levi Montalcini, 2 Vercelli, Piedmont 131</t>
  </si>
  <si>
    <t>Piedmont</t>
  </si>
  <si>
    <t>13100</t>
  </si>
  <si>
    <t>XITC</t>
  </si>
  <si>
    <t>Via Aldo Moro 4</t>
  </si>
  <si>
    <t>Francolino di Carpiano</t>
  </si>
  <si>
    <t>20080</t>
  </si>
  <si>
    <t>TRN1</t>
  </si>
  <si>
    <t>Strada Provinciale per Rondissone 90</t>
  </si>
  <si>
    <t>Torrazza Piemonte, Piemonte</t>
  </si>
  <si>
    <t>10037</t>
  </si>
  <si>
    <t>XMP2</t>
  </si>
  <si>
    <t>Francolino di</t>
  </si>
  <si>
    <t>XMP1</t>
  </si>
  <si>
    <t>Via Maestri Del Lavoro, 990 Arqua Polesine</t>
  </si>
  <si>
    <t>Rovigo</t>
  </si>
  <si>
    <t>45031</t>
  </si>
  <si>
    <t>PSR2</t>
  </si>
  <si>
    <t>Viale Germania, 29</t>
  </si>
  <si>
    <t>San Salvo</t>
  </si>
  <si>
    <t>CH</t>
  </si>
  <si>
    <t>66050</t>
  </si>
  <si>
    <t>LEJ5</t>
  </si>
  <si>
    <t>Am Steingarten 2</t>
  </si>
  <si>
    <t>GERA</t>
  </si>
  <si>
    <t>TH</t>
  </si>
  <si>
    <t>07554</t>
  </si>
  <si>
    <t>BLQ8</t>
  </si>
  <si>
    <t>Via Pelloni5</t>
  </si>
  <si>
    <t>Spilamberto,Modena</t>
  </si>
  <si>
    <t>41057</t>
  </si>
  <si>
    <t>MXP6</t>
  </si>
  <si>
    <t>Strada Provinciale 299 snc</t>
  </si>
  <si>
    <t>AGOGNATE</t>
  </si>
  <si>
    <t>NOVARA</t>
  </si>
  <si>
    <t>28100</t>
  </si>
  <si>
    <t>BGY1</t>
  </si>
  <si>
    <t>Via Primo Maggio 8</t>
  </si>
  <si>
    <t>Cividate al Piano</t>
  </si>
  <si>
    <t>BERGAMO</t>
  </si>
  <si>
    <t>24050</t>
  </si>
  <si>
    <t>BLQ1</t>
  </si>
  <si>
    <t>Via Ipazia D’Alessandria 946</t>
  </si>
  <si>
    <t>San Bellino (Rovigo)</t>
  </si>
  <si>
    <t>45020</t>
  </si>
  <si>
    <t>TRN3</t>
  </si>
  <si>
    <t>Str. John Fitzgerald Kennedy</t>
  </si>
  <si>
    <t>Alessandria</t>
  </si>
  <si>
    <t>法国亚马逊地址</t>
  </si>
  <si>
    <t>ORY1</t>
  </si>
  <si>
    <t>Pole 45 1401 Rue Du Champ Rouge 45772 SARAN CEDEX France</t>
  </si>
  <si>
    <t>Saran</t>
  </si>
  <si>
    <t>FR</t>
  </si>
  <si>
    <t>45772</t>
  </si>
  <si>
    <t>ORY4</t>
  </si>
  <si>
    <t>Avenue du Centred Essais en Vol Bretigny sur Orge, France 91220</t>
  </si>
  <si>
    <t>BRETIGNY SUR ORGE</t>
  </si>
  <si>
    <t>91220</t>
  </si>
  <si>
    <t>MRS1</t>
  </si>
  <si>
    <t>building 2,ZAC Les Portes de Provence,F-26200,Montelimar,France</t>
  </si>
  <si>
    <t>Provence</t>
  </si>
  <si>
    <t>26200</t>
  </si>
  <si>
    <t>LYS1-71100</t>
  </si>
  <si>
    <t>LYS1</t>
  </si>
  <si>
    <t>1 rue Amazon,Sevrey,Saone-et-Loire,71100,Burgundy,France</t>
  </si>
  <si>
    <t>Severy</t>
  </si>
  <si>
    <t>71100</t>
  </si>
  <si>
    <t>LIL1</t>
  </si>
  <si>
    <t>Rue de la Plaine,59553,Lauwin-Planque,Nord-Pas-de-Calais,France</t>
  </si>
  <si>
    <t>Lauwin-Planque</t>
  </si>
  <si>
    <t>59553</t>
  </si>
  <si>
    <t>XFRG</t>
  </si>
  <si>
    <t>XPO Artenay NS 3PL ZAC du Moulin Artenay 45410 FR</t>
  </si>
  <si>
    <t>Moulin</t>
  </si>
  <si>
    <t>45410</t>
  </si>
  <si>
    <t>BVA1</t>
  </si>
  <si>
    <t>Amazon Fulfillment Center Avenue du Superbe Orenoq</t>
  </si>
  <si>
    <t>Boves</t>
  </si>
  <si>
    <t>80440</t>
  </si>
  <si>
    <t>CDFR</t>
  </si>
  <si>
    <t>5 avenue de Guitayne,Zone Industrielle du Courneau CANEJAN France 33610</t>
  </si>
  <si>
    <t>CANEJAN</t>
  </si>
  <si>
    <t>33610</t>
  </si>
  <si>
    <t>XOR1</t>
  </si>
  <si>
    <t>succursale francaise Pièce de la Remise 146, route de Corbeil</t>
  </si>
  <si>
    <t>Lisses</t>
  </si>
  <si>
    <t>91090</t>
  </si>
  <si>
    <t>VESK</t>
  </si>
  <si>
    <t>7 rue du Chrome</t>
  </si>
  <si>
    <t>Savigny le Temple</t>
  </si>
  <si>
    <t>77176</t>
  </si>
  <si>
    <t>CDG7</t>
  </si>
  <si>
    <t>Parc d'activites des Portes de Senlis 1 avenue Alain</t>
  </si>
  <si>
    <t>Boucher Senlis</t>
  </si>
  <si>
    <t>60452</t>
  </si>
  <si>
    <t>Distripôle Châlons</t>
  </si>
  <si>
    <t>ZAC Val de Bourgogne</t>
  </si>
  <si>
    <t>SEVREY CEDEX</t>
  </si>
  <si>
    <t>71311</t>
  </si>
  <si>
    <t>XCD1</t>
  </si>
  <si>
    <t>50 Boulevard de l Europe</t>
  </si>
  <si>
    <t>COMBS LA VILLE</t>
  </si>
  <si>
    <t>77380</t>
  </si>
  <si>
    <t>LIL8</t>
  </si>
  <si>
    <t>1710 Rue de la Plaine</t>
  </si>
  <si>
    <t>CDG7-60300</t>
  </si>
  <si>
    <t>Parc d.activites des Portes</t>
  </si>
  <si>
    <t>1 avenue Alain Boucher</t>
  </si>
  <si>
    <t>Senlis CEDEX</t>
  </si>
  <si>
    <t>加拿大亚马逊地址</t>
  </si>
  <si>
    <t>YVR1</t>
  </si>
  <si>
    <t>450 Derwent PL Delta, British Columbia V3M 5Y9</t>
  </si>
  <si>
    <t>Vancouver</t>
  </si>
  <si>
    <t>BC</t>
  </si>
  <si>
    <t>V3M 5Y9</t>
  </si>
  <si>
    <t>YYZ1</t>
  </si>
  <si>
    <t>6363 Millcreek Drive Mississauga, Ontario L5N 1L8</t>
  </si>
  <si>
    <t>Toronto</t>
  </si>
  <si>
    <t>ON</t>
  </si>
  <si>
    <t>L5N 1L8</t>
  </si>
  <si>
    <t>YYZ2</t>
  </si>
  <si>
    <t>2750 Peddie Rd. Milton, Ontario L9T 6Y9</t>
  </si>
  <si>
    <t>L9T 6Y9</t>
  </si>
  <si>
    <t>YYZ3</t>
  </si>
  <si>
    <t>7995 Winston Churchill Blvd</t>
  </si>
  <si>
    <t>Brampton</t>
  </si>
  <si>
    <t>L6Y 5Z4</t>
  </si>
  <si>
    <t>YYZ4</t>
  </si>
  <si>
    <t>8050 Heritage Road Brampton, ON L6Y 0C9 CA (YYZ4) Canada</t>
  </si>
  <si>
    <t>L6Y 6L5</t>
  </si>
  <si>
    <t>YYZ6</t>
  </si>
  <si>
    <t>8050 Heritage Road Brampton, ON L6Y 0C9 CA Canada</t>
  </si>
  <si>
    <t>L6Y 0C9</t>
  </si>
  <si>
    <t>YVR3</t>
  </si>
  <si>
    <t>109 Braid Street New Westminster,BC V3L5H4</t>
  </si>
  <si>
    <t>New Westminster</t>
  </si>
  <si>
    <t>V3L 5H4</t>
  </si>
  <si>
    <t>YVR2</t>
  </si>
  <si>
    <t>450 Derwent PL Delta, British Columbia V3M 5Y9，Canada</t>
  </si>
  <si>
    <t>Derwent PL Delta</t>
  </si>
  <si>
    <t>YYC1-0E0</t>
  </si>
  <si>
    <t>Col Robertson Wy and Crossiron Blvd Calgary, AB T0M 0E0 CA (YYC1) Canada</t>
  </si>
  <si>
    <t>Calgary</t>
  </si>
  <si>
    <t>AB</t>
  </si>
  <si>
    <t>T0M 0E0</t>
  </si>
  <si>
    <t>YYC1</t>
  </si>
  <si>
    <t>293069 Colonel Robertson Way and Crossiron Blvd Calgary, Alberta T4A 1C6 Canada</t>
  </si>
  <si>
    <t>T4A 1C6</t>
  </si>
  <si>
    <t>YOW1</t>
  </si>
  <si>
    <t>5225 Boundary Road</t>
  </si>
  <si>
    <t>Navan</t>
  </si>
  <si>
    <t>NO</t>
  </si>
  <si>
    <t>K4B 0L3</t>
  </si>
  <si>
    <t>YYZ7</t>
  </si>
  <si>
    <t>12724 Coleraine Drive Bolton ON L7E 4L8</t>
  </si>
  <si>
    <t>Bolton</t>
  </si>
  <si>
    <t>L7E 4L8</t>
  </si>
  <si>
    <t>YHM1</t>
  </si>
  <si>
    <t>110 Aeropark Blvd</t>
  </si>
  <si>
    <t>MOUNT HOPE</t>
  </si>
  <si>
    <t>L0R 1W1</t>
  </si>
  <si>
    <t>YOW3</t>
  </si>
  <si>
    <t>222 Citigate Drive</t>
  </si>
  <si>
    <t>NEPEAN</t>
  </si>
  <si>
    <t>K2J 7C7</t>
  </si>
  <si>
    <t>YVR4</t>
  </si>
  <si>
    <t>amazon.ca</t>
  </si>
  <si>
    <t>4189 Salish Sea Way</t>
  </si>
  <si>
    <t>Tsawwassen</t>
  </si>
  <si>
    <t>V4M 0B9</t>
  </si>
  <si>
    <t>YXX2</t>
  </si>
  <si>
    <t>16131 Blundell Rd</t>
  </si>
  <si>
    <t>RICHMOND</t>
  </si>
  <si>
    <t>BV</t>
  </si>
  <si>
    <t>V6W 0A3</t>
  </si>
  <si>
    <t>YYZ9</t>
  </si>
  <si>
    <t>6351 Steeles Ave E</t>
  </si>
  <si>
    <t>SCARBOROUGH</t>
  </si>
  <si>
    <t>M1X 1N5</t>
  </si>
  <si>
    <t>YEG2</t>
  </si>
  <si>
    <t>27383 92 Ave</t>
  </si>
  <si>
    <t>Acheson</t>
  </si>
  <si>
    <t>T7X 2X2</t>
  </si>
  <si>
    <t>YXU1</t>
  </si>
  <si>
    <t>11884 Sunset Rd</t>
  </si>
  <si>
    <t>St Thomas</t>
  </si>
  <si>
    <t>N5P 0G9</t>
  </si>
  <si>
    <t>YYC4</t>
  </si>
  <si>
    <t>6635 106 AVE SE</t>
  </si>
  <si>
    <t>CALGARY</t>
  </si>
  <si>
    <t>T2C 5X1</t>
  </si>
  <si>
    <t>YDC5</t>
  </si>
  <si>
    <t>6351 STEELES AVE E</t>
  </si>
  <si>
    <t>YEG1</t>
  </si>
  <si>
    <t>1440 39 AVE</t>
  </si>
  <si>
    <t>Nisku</t>
  </si>
  <si>
    <t>T9E 0B4</t>
  </si>
  <si>
    <t>英国亚马逊地址</t>
  </si>
  <si>
    <t>BHX1</t>
  </si>
  <si>
    <t>Towers Business Park Power Station Road</t>
  </si>
  <si>
    <t>RUGELEY</t>
  </si>
  <si>
    <t>GB</t>
  </si>
  <si>
    <t>WS15 1LX</t>
  </si>
  <si>
    <t>BHX2</t>
  </si>
  <si>
    <t>15B Beveridge Ln Ellistown</t>
  </si>
  <si>
    <t>COALVILLE</t>
  </si>
  <si>
    <t>Leicestershire</t>
  </si>
  <si>
    <t>LE67 1FB</t>
  </si>
  <si>
    <t>BHX3</t>
  </si>
  <si>
    <t>4 Royal Oak Way North Daventry</t>
  </si>
  <si>
    <t>Northamptonshire</t>
  </si>
  <si>
    <t>NN11 8PQ</t>
  </si>
  <si>
    <t>BHX5</t>
  </si>
  <si>
    <t>Unit 3 Rugby</t>
  </si>
  <si>
    <t>West Midlands</t>
  </si>
  <si>
    <t>CV23 0XF</t>
  </si>
  <si>
    <t>BRS1</t>
  </si>
  <si>
    <t>Goldcrest WayBristol, South West</t>
  </si>
  <si>
    <t>Bristol</t>
  </si>
  <si>
    <t>BS35 4DJ</t>
  </si>
  <si>
    <t>CWL1</t>
  </si>
  <si>
    <t>Ffordd Amazon Crymlyn Burrows</t>
  </si>
  <si>
    <t>Swansea</t>
  </si>
  <si>
    <t>SA18QX</t>
  </si>
  <si>
    <t>CWL1-1</t>
  </si>
  <si>
    <t>Ffordd AmazonSwansea，Wales</t>
  </si>
  <si>
    <t>Wales</t>
  </si>
  <si>
    <t>SA1 8QX</t>
  </si>
  <si>
    <t>EDI4</t>
  </si>
  <si>
    <t>Amazon Way Dunfermline</t>
  </si>
  <si>
    <t>Dunfermline</t>
  </si>
  <si>
    <t>KY11 8ST</t>
  </si>
  <si>
    <t>EMA1</t>
  </si>
  <si>
    <t>Unit 1, Wilders Way, England DERBY</t>
  </si>
  <si>
    <t>England</t>
  </si>
  <si>
    <t>DE74 2BB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</si>
  <si>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</si>
  <si>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</si>
  <si>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</si>
  <si>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</si>
  <si>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</si>
  <si>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</si>
  <si>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</si>
  <si>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</si>
  <si>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</si>
  <si>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</si>
  <si>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</si>
  <si>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</si>
  <si>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Amazon Fulfillment CenterFoundry Point, Halebank Industrial Estate,Foundry Lane</t>
  </si>
  <si>
    <t>Widnes</t>
  </si>
  <si>
    <t>Cheshire</t>
  </si>
  <si>
    <t>WA8 8YN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</si>
  <si>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</si>
  <si>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</si>
  <si>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</si>
  <si>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</si>
  <si>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</si>
  <si>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</si>
  <si>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</si>
  <si>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DONCASTER</t>
  </si>
  <si>
    <t>DN4 5JS</t>
  </si>
  <si>
    <t>LBA2</t>
  </si>
  <si>
    <t>Amazon, Unit 1, Iport Avenue</t>
  </si>
  <si>
    <t>New Rossington</t>
  </si>
  <si>
    <t>Doncaster</t>
  </si>
  <si>
    <t>DN11 0BG</t>
  </si>
  <si>
    <t>LCY2</t>
  </si>
  <si>
    <t>Amazon Distribution Depot Unit 2, London Distribution Park</t>
  </si>
  <si>
    <t>Tilbury</t>
  </si>
  <si>
    <t>RM18 7AN</t>
  </si>
  <si>
    <t>LTN1</t>
  </si>
  <si>
    <t>Amazon.co.uk Marston Gate Fulfillment CentreRidg</t>
  </si>
  <si>
    <t>Ridgmont</t>
  </si>
  <si>
    <t>Bedfordshire</t>
  </si>
  <si>
    <t>MK43 0ZA</t>
  </si>
  <si>
    <t>LTN2</t>
  </si>
  <si>
    <t>Boundary Way Hemel Hempstead Hertfordshire</t>
  </si>
  <si>
    <t>Hemel Hempstead</t>
  </si>
  <si>
    <t>Hertfordshire</t>
  </si>
  <si>
    <t>HP27LF</t>
  </si>
  <si>
    <t>LTN4</t>
  </si>
  <si>
    <t>Unit DC1 (Prologis)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</si>
  <si>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</si>
  <si>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</si>
  <si>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</si>
  <si>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</si>
  <si>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</si>
  <si>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</si>
  <si>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</si>
  <si>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</si>
  <si>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</si>
  <si>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</si>
  <si>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</si>
  <si>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</si>
  <si>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</si>
  <si>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</si>
  <si>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</si>
  <si>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</t>
  </si>
  <si>
    <t>29 Gander LaneCHESTERFIELD</t>
  </si>
  <si>
    <t>Derbyshire</t>
  </si>
  <si>
    <t>S43 4PZ</t>
  </si>
  <si>
    <t>SUUK</t>
  </si>
  <si>
    <t>115 Worship Street</t>
  </si>
  <si>
    <t>London</t>
  </si>
  <si>
    <t>EC2A 2BA</t>
  </si>
  <si>
    <t>XUKD</t>
  </si>
  <si>
    <t>XPO Logistics,Unit A Daventry Distribution Centre</t>
  </si>
  <si>
    <t>DAVENTRY</t>
  </si>
  <si>
    <t>NN11 8LR</t>
  </si>
  <si>
    <t>EUKD</t>
  </si>
  <si>
    <t>BHX4</t>
  </si>
  <si>
    <t>Plot 1, Lyons Park, Sayer Dr Coventry, West Midlands</t>
  </si>
  <si>
    <t>Coventry</t>
  </si>
  <si>
    <t>CV5 9PF</t>
  </si>
  <si>
    <t>LBA4</t>
  </si>
  <si>
    <t>Unit IP9 Toronto Way New Rossington</t>
  </si>
  <si>
    <t>DN11 0GU</t>
  </si>
  <si>
    <t>XBH4</t>
  </si>
  <si>
    <t>0123456789</t>
  </si>
  <si>
    <t>GRAVELLY WAY
CEVA Logistics
WOLVERHAMPTON, West Midlands WV10 7GW
GB (XBH4)</t>
  </si>
  <si>
    <t>WOLVERHAMPTON</t>
  </si>
  <si>
    <t>WV10 7GW</t>
  </si>
  <si>
    <t>BHX7</t>
  </si>
  <si>
    <t>Unit 2, Hinckley Park Avery Way</t>
  </si>
  <si>
    <t>Hinckley</t>
  </si>
  <si>
    <t>LE10 3FF</t>
  </si>
  <si>
    <t>XBH7</t>
  </si>
  <si>
    <t>Fortress Way Suffolk Park</t>
  </si>
  <si>
    <t>Bury St.Edmunds</t>
  </si>
  <si>
    <t>Suffolk</t>
  </si>
  <si>
    <t>IP32 7FQ</t>
  </si>
  <si>
    <t>BHX8</t>
  </si>
  <si>
    <t>Unit A, Gateway, Coventry Hwy Redditch B98 9AY GB</t>
  </si>
  <si>
    <t>Coventry Hwy</t>
  </si>
  <si>
    <t>Redditch</t>
  </si>
  <si>
    <t>B98 9AY</t>
  </si>
  <si>
    <t>LPL2</t>
  </si>
  <si>
    <t>Unit 1 Marl Road PLP Knowsley</t>
  </si>
  <si>
    <t>LIVERPOOL</t>
  </si>
  <si>
    <t>Lancashire</t>
  </si>
  <si>
    <t>L33 7AP</t>
  </si>
  <si>
    <t>XDS1</t>
  </si>
  <si>
    <t>Gateway 4 Jackson Lane Dale View</t>
  </si>
  <si>
    <t>Yorkshire</t>
  </si>
  <si>
    <t>DN3 3FX</t>
  </si>
  <si>
    <t>LBA8/IMN1</t>
  </si>
  <si>
    <t>Unit 3, Logic Leeds Skelton Moor Way</t>
  </si>
  <si>
    <t>Leeds</t>
  </si>
  <si>
    <t>LS15 0BF</t>
  </si>
  <si>
    <t>EMA2</t>
  </si>
  <si>
    <t>SUMMIT PARK SHERWOOD WAY SOUTH</t>
  </si>
  <si>
    <t>SUTTON IN ASHFIELD</t>
  </si>
  <si>
    <t>Mansfield</t>
  </si>
  <si>
    <t>NG17 4PA</t>
  </si>
  <si>
    <t>XBH9</t>
  </si>
  <si>
    <t>Panattoni Park</t>
  </si>
  <si>
    <t>Avonmouth</t>
  </si>
  <si>
    <t>BS10 7SD</t>
  </si>
  <si>
    <t>EMA3</t>
  </si>
  <si>
    <t>10 Oyster Road</t>
  </si>
  <si>
    <t>Eastwood</t>
  </si>
  <si>
    <t>Nottingham</t>
  </si>
  <si>
    <t>NG16 3UA</t>
  </si>
  <si>
    <t>西班牙亚马逊地址</t>
  </si>
  <si>
    <t>BCN2</t>
  </si>
  <si>
    <t>Carrer de la VERNEDA 22</t>
  </si>
  <si>
    <t>MARTORELLES</t>
  </si>
  <si>
    <t>BARCELONA</t>
  </si>
  <si>
    <t>ES</t>
  </si>
  <si>
    <t>08107</t>
  </si>
  <si>
    <t>MAD7</t>
  </si>
  <si>
    <t>Carretera antigua Madrid-Toledo 38D</t>
  </si>
  <si>
    <t>Illescas</t>
  </si>
  <si>
    <t>45200</t>
  </si>
  <si>
    <t>ZAZ1</t>
  </si>
  <si>
    <t>ALI-28 y ALI-2</t>
  </si>
  <si>
    <t>Zaragoza</t>
  </si>
  <si>
    <t>Aragon</t>
  </si>
  <si>
    <t>BCN8</t>
  </si>
  <si>
    <t>Carrer Ca n'Alzina 161</t>
  </si>
  <si>
    <t>Sabadell</t>
  </si>
  <si>
    <t>08210</t>
  </si>
  <si>
    <t>MAD6</t>
  </si>
  <si>
    <t>Avenida de la Logistica poligono industrial Veredilla III</t>
  </si>
  <si>
    <t>BCN1</t>
  </si>
  <si>
    <t>Av. de les Garrigues num.</t>
  </si>
  <si>
    <t>6-8 El Prat de Llobregat</t>
  </si>
  <si>
    <t>Barcelona</t>
  </si>
  <si>
    <t>08820</t>
  </si>
  <si>
    <t>MAD4</t>
  </si>
  <si>
    <t>Astronomia 24 San Fernando de Henares</t>
  </si>
  <si>
    <t>Madrid</t>
  </si>
  <si>
    <t>28830</t>
  </si>
  <si>
    <t>XESB</t>
  </si>
  <si>
    <t>Avenida Rio Henares 16</t>
  </si>
  <si>
    <t>Alovera</t>
  </si>
  <si>
    <t>19208</t>
  </si>
  <si>
    <t>XRE1</t>
  </si>
  <si>
    <t>Avenida de las Puntas 10</t>
  </si>
  <si>
    <t>Constanti</t>
  </si>
  <si>
    <t>43120</t>
  </si>
  <si>
    <t>RMU1</t>
  </si>
  <si>
    <t>Calle Isidro Vivancos Munoz</t>
  </si>
  <si>
    <t>Parque Logistico del Sureste</t>
  </si>
  <si>
    <t>Murcia</t>
  </si>
  <si>
    <t>30156</t>
  </si>
  <si>
    <t>SVQ1</t>
  </si>
  <si>
    <t>Bulevar Agustín Nuñez Llanos s/n</t>
  </si>
  <si>
    <t>Poligono La Isla, Dos Hermanas</t>
  </si>
  <si>
    <t>Seville</t>
  </si>
  <si>
    <t>41703</t>
  </si>
  <si>
    <t>澳大利亚亚马逊地址</t>
  </si>
  <si>
    <t>BNE1</t>
  </si>
  <si>
    <t>42-52 Export Street</t>
  </si>
  <si>
    <t>LYTTON</t>
  </si>
  <si>
    <t>QLD</t>
  </si>
  <si>
    <t>AU</t>
  </si>
  <si>
    <t>4178</t>
  </si>
  <si>
    <t>MEL1</t>
  </si>
  <si>
    <t>29 National Dr</t>
  </si>
  <si>
    <t>Dandenong South</t>
  </si>
  <si>
    <t>3175</t>
  </si>
  <si>
    <t>BWU1</t>
  </si>
  <si>
    <t>23 Centenary Avenue</t>
  </si>
  <si>
    <t>Moorebank</t>
  </si>
  <si>
    <t>NSW</t>
  </si>
  <si>
    <t>2170</t>
  </si>
  <si>
    <t>PER3</t>
  </si>
  <si>
    <t>60 Paltridge Road</t>
  </si>
  <si>
    <t>Perth Airport</t>
  </si>
  <si>
    <t>6105</t>
  </si>
  <si>
    <t>MEL5</t>
  </si>
  <si>
    <t>103 Palm Springs Rd</t>
  </si>
  <si>
    <t>Ravenhall</t>
  </si>
  <si>
    <t>VIC</t>
  </si>
  <si>
    <t>3023</t>
  </si>
  <si>
    <t>XAU1</t>
  </si>
  <si>
    <t>Warehouse B, 25-29 Jets Court</t>
  </si>
  <si>
    <t>Tullamarine</t>
  </si>
  <si>
    <t>3043</t>
  </si>
  <si>
    <t>BWU2</t>
  </si>
  <si>
    <t>13 Emporium Avenue</t>
  </si>
  <si>
    <t>Kemps Creek</t>
  </si>
  <si>
    <t>2178</t>
  </si>
  <si>
    <t>AVV2</t>
  </si>
  <si>
    <t>95 WHITFIELD BOULEVARD</t>
  </si>
  <si>
    <t>Cranbourne West</t>
  </si>
  <si>
    <t>XBW3</t>
  </si>
  <si>
    <t>19 Giba Drive</t>
  </si>
  <si>
    <t>KEMPS CREEK</t>
  </si>
  <si>
    <t>WRO5-59-225</t>
  </si>
  <si>
    <t>Okmiany Dolnoslaskie voivodeship</t>
  </si>
  <si>
    <t>Okmiany</t>
  </si>
  <si>
    <t>PL</t>
  </si>
  <si>
    <t>59-225</t>
  </si>
  <si>
    <t>渠道</t>
  </si>
  <si>
    <t>预计送仓时效</t>
  </si>
  <si>
    <t>区域</t>
  </si>
  <si>
    <t>一区</t>
  </si>
  <si>
    <t>二区</t>
  </si>
  <si>
    <t>XLX7</t>
  </si>
  <si>
    <t>三区</t>
  </si>
  <si>
    <t>四区</t>
  </si>
  <si>
    <t>五区</t>
  </si>
  <si>
    <t>六区</t>
  </si>
  <si>
    <t>七区</t>
  </si>
  <si>
    <t>八区</t>
  </si>
  <si>
    <t>九区</t>
  </si>
  <si>
    <t>十区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</si>
</sst>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30">
    <font>
      <sz val="11"/>
      <color theme="1"/>
      <name val="DengXian"/>
      <charset val="134"/>
      <scheme val="minor"/>
    </font>
    <font>
      <b/>
      <sz val="12"/>
      <color theme="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theme="1"/>
      <name val="DengXian"/>
      <charset val="134"/>
      <scheme val="minor"/>
    </font>
    <font>
      <sz val="9"/>
      <color indexed="8"/>
      <name val="微软雅黑"/>
      <family val="2"/>
      <charset val="134"/>
    </font>
    <font>
      <b/>
      <sz val="11"/>
      <color theme="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family val="2"/>
      <charset val="134"/>
    </font>
    <font>
      <sz val="9"/>
      <color indexed="47"/>
      <name val="微软雅黑"/>
      <family val="2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0" fillId="8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Fill="1" applyAlignment="1" applyProtection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6" borderId="3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Border="1"/>
    <xf numFmtId="49" fontId="8" fillId="6" borderId="3" xfId="0" applyNumberFormat="1" applyFont="1" applyFill="1" applyBorder="1" applyAlignment="1">
      <alignment horizontal="left"/>
    </xf>
    <xf numFmtId="0" fontId="8" fillId="0" borderId="0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4" borderId="3" xfId="0" applyFont="1" applyFill="1" applyBorder="1"/>
    <xf numFmtId="0" fontId="9" fillId="4" borderId="3" xfId="0" applyFont="1" applyFill="1" applyBorder="1" applyAlignment="1">
      <alignment horizontal="left" vertical="top"/>
    </xf>
    <xf numFmtId="0" fontId="8" fillId="0" borderId="3" xfId="0" applyFont="1" applyFill="1" applyBorder="1"/>
    <xf numFmtId="0" fontId="9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8" fillId="0" borderId="4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9" fillId="4" borderId="3" xfId="0" applyFont="1" applyFill="1" applyBorder="1" applyAlignment="1"/>
    <xf numFmtId="0" fontId="8" fillId="4" borderId="3" xfId="0" applyFont="1" applyFill="1" applyBorder="1" applyAlignment="1">
      <alignment horizontal="left"/>
    </xf>
    <xf numFmtId="49" fontId="8" fillId="0" borderId="0" xfId="0" applyNumberFormat="1" applyFont="1" applyFill="1" applyBorder="1"/>
    <xf numFmtId="177" fontId="10" fillId="0" borderId="3" xfId="0" applyNumberFormat="1" applyFont="1" applyFill="1" applyBorder="1" applyAlignment="1">
      <alignment horizontal="center"/>
    </xf>
    <xf numFmtId="177" fontId="10" fillId="4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0" fillId="0" borderId="0" xfId="0" applyNumberForma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F81BD"/>
      <color rgb="00808080"/>
      <color rgb="00FFFFFF"/>
      <color rgb="00366092"/>
      <color rgb="00DD0806"/>
      <color rgb="00BFBFBF"/>
      <color rgb="00FF0000"/>
      <color rgb="00FFFF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549275</xdr:colOff>
      <xdr:row>14</xdr:row>
      <xdr:rowOff>172085</xdr:rowOff>
    </xdr:from>
    <xdr:to>
      <xdr:col>5</xdr:col>
      <xdr:colOff>309880</xdr:colOff>
      <xdr:row>16</xdr:row>
      <xdr:rowOff>11430</xdr:rowOff>
    </xdr:to>
    <xdr:sp>
      <xdr:nvSpPr>
        <xdr:cNvPr id="2" name="文本框 6"/>
        <xdr:cNvSpPr txBox="1"/>
      </xdr:nvSpPr>
      <xdr:spPr>
        <a:xfrm>
          <a:off x="3936365" y="2666365"/>
          <a:ext cx="2289810" cy="16891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900">
              <a:solidFill>
                <a:sysClr val="windowText" lastClr="000000"/>
              </a:solidFill>
            </a:rPr>
            <a:t>例：</a:t>
          </a:r>
          <a:r>
            <a:rPr lang="zh-CN" altLang="en-US" sz="900">
              <a:solidFill>
                <a:srgbClr val="FF0000"/>
              </a:solidFill>
            </a:rPr>
            <a:t>深圳坂田仓库</a:t>
          </a:r>
          <a:r>
            <a:rPr lang="en-US" altLang="zh-CN" sz="900">
              <a:solidFill>
                <a:srgbClr val="FF0000"/>
              </a:solidFill>
            </a:rPr>
            <a:t>/</a:t>
          </a:r>
          <a:r>
            <a:rPr lang="zh-CN" altLang="en-US" sz="900">
              <a:solidFill>
                <a:srgbClr val="FF0000"/>
              </a:solidFill>
            </a:rPr>
            <a:t>义乌仓库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17</xdr:row>
      <xdr:rowOff>0</xdr:rowOff>
    </xdr:from>
    <xdr:to>
      <xdr:col>16</xdr:col>
      <xdr:colOff>55245</xdr:colOff>
      <xdr:row>17</xdr:row>
      <xdr:rowOff>488950</xdr:rowOff>
    </xdr:to>
    <xdr:pic>
      <xdr:nvPicPr>
        <xdr:cNvPr id="139918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51025" y="3179445"/>
          <a:ext cx="844550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85" zoomScaleNormal="85" zoomScaleSheetLayoutView="60" workbookViewId="0">
      <selection activeCell="J21" sqref="J21"/>
    </sheetView>
  </sheetViews>
  <sheetFormatPr defaultColWidth="11" defaultRowHeight="12.35"/>
  <cols>
    <col min="1" max="1" width="22.2389380530973" style="17" customWidth="1"/>
    <col min="2" max="2" width="17.1946902654867" style="17" customWidth="1"/>
    <col min="3" max="3" width="7.76991150442478" style="17" customWidth="1"/>
    <col min="4" max="4" width="14.4601769911504" style="17" customWidth="1"/>
    <col min="5" max="5" width="20.787610619469" style="17" customWidth="1"/>
    <col min="6" max="6" width="11.2477876106195" style="17" customWidth="1"/>
    <col min="7" max="7" width="13.6283185840708" style="17" customWidth="1"/>
    <col min="8" max="9" width="10.7610619469027" style="17" customWidth="1"/>
    <col min="10" max="10" width="13.3716814159292" style="17" customWidth="1"/>
    <col min="11" max="11" width="14.0796460176991" style="17" customWidth="1"/>
    <col min="12" max="12" width="14.2300884955752" style="17" customWidth="1"/>
    <col min="13" max="14" width="10.6283185840708" style="17" customWidth="1"/>
    <col min="15" max="16384" width="11" style="17"/>
  </cols>
  <sheetData>
    <row r="1" ht="15.75" customHeight="1" spans="1:15">
      <c r="A1" s="18" t="s">
        <v>0</v>
      </c>
      <c r="B1" s="19"/>
      <c r="C1" s="20"/>
      <c r="D1" s="20"/>
      <c r="E1" s="18" t="s">
        <v>1</v>
      </c>
      <c r="F1" s="21" t="s">
        <v>2</v>
      </c>
      <c r="G1" s="21"/>
      <c r="H1" s="21"/>
      <c r="I1" s="22"/>
      <c r="J1" s="23"/>
      <c r="K1" s="23"/>
      <c r="L1" s="23"/>
      <c r="M1" s="24"/>
      <c r="N1" s="24"/>
      <c r="O1" s="24"/>
    </row>
    <row r="2" ht="15.75" customHeight="1" spans="1:15">
      <c r="A2" s="18" t="s">
        <v>3</v>
      </c>
      <c r="B2" s="19"/>
      <c r="C2" s="20"/>
      <c r="D2" s="20"/>
      <c r="E2" s="18" t="s">
        <v>4</v>
      </c>
      <c r="F2" s="21" t="s">
        <v>2</v>
      </c>
      <c r="G2" s="21"/>
      <c r="H2" s="21"/>
      <c r="I2" s="22"/>
      <c r="J2" s="23"/>
      <c r="K2" s="23"/>
      <c r="L2" s="23"/>
      <c r="M2" s="24"/>
      <c r="N2" s="24"/>
      <c r="O2" s="24"/>
    </row>
    <row r="3" ht="15.75" customHeight="1" spans="1:15">
      <c r="A3" s="25" t="s">
        <v>5</v>
      </c>
      <c r="B3" s="19"/>
      <c r="C3" s="20"/>
      <c r="D3" s="20"/>
      <c r="E3" s="18" t="s">
        <v>6</v>
      </c>
      <c r="F3" s="21" t="s">
        <v>2</v>
      </c>
      <c r="G3" s="21"/>
      <c r="H3" s="21"/>
      <c r="I3" s="26"/>
      <c r="J3" s="23"/>
      <c r="K3" s="23"/>
      <c r="L3" s="23"/>
      <c r="M3" s="24"/>
      <c r="N3" s="24"/>
      <c r="O3" s="24"/>
    </row>
    <row r="4" ht="15.75" customHeight="1" spans="1:15">
      <c r="A4" s="18" t="s">
        <v>7</v>
      </c>
      <c r="B4" s="27" t="str">
        <f>IFERROR(VLOOKUP(B3,地址库!A1:$N$628,3,FALSE),"仓库代码无效，如是非亚马逊地址，删除所有公式后填写")</f>
        <v>仓库代码无效，如是非亚马逊地址，删除所有公式后填写</v>
      </c>
      <c r="C4" s="28"/>
      <c r="D4" s="28"/>
      <c r="E4" s="18" t="s">
        <v>8</v>
      </c>
      <c r="F4" s="21" t="s">
        <v>2</v>
      </c>
      <c r="G4" s="21"/>
      <c r="H4" s="21"/>
      <c r="I4" s="26"/>
      <c r="J4" s="23"/>
      <c r="K4" s="23"/>
      <c r="L4" s="23"/>
      <c r="M4" s="24"/>
      <c r="N4" s="24"/>
      <c r="O4" s="24"/>
    </row>
    <row r="5" ht="15.75" customHeight="1" spans="1:15">
      <c r="A5" s="18" t="s">
        <v>9</v>
      </c>
      <c r="B5" s="29"/>
      <c r="C5" s="30"/>
      <c r="D5" s="30"/>
      <c r="E5" s="18" t="s">
        <v>10</v>
      </c>
      <c r="F5" s="21" t="s">
        <v>2</v>
      </c>
      <c r="G5" s="21"/>
      <c r="H5" s="21"/>
      <c r="I5" s="26"/>
      <c r="J5" s="31"/>
      <c r="K5" s="31"/>
      <c r="L5" s="31"/>
      <c r="M5" s="24"/>
      <c r="N5" s="24"/>
      <c r="O5" s="24"/>
    </row>
    <row r="6" ht="14.25" customHeight="1" spans="1:15">
      <c r="A6" s="18" t="s">
        <v>11</v>
      </c>
      <c r="B6" s="29" t="e">
        <f>VLOOKUP(B3,地址库!A1:$N$628,8,FALSE)</f>
        <v>#N/A</v>
      </c>
      <c r="C6" s="30"/>
      <c r="D6" s="30"/>
      <c r="E6" s="32" t="s">
        <v>12</v>
      </c>
      <c r="F6" s="33" t="s">
        <v>13</v>
      </c>
      <c r="G6" s="33"/>
      <c r="H6" s="33"/>
      <c r="I6" s="26"/>
      <c r="J6" s="23"/>
      <c r="K6" s="23"/>
      <c r="L6" s="23"/>
      <c r="M6" s="24"/>
      <c r="N6" s="24"/>
      <c r="O6" s="24"/>
    </row>
    <row r="7" spans="1:15">
      <c r="A7" s="18" t="s">
        <v>14</v>
      </c>
      <c r="B7" s="29"/>
      <c r="C7" s="30"/>
      <c r="D7" s="30"/>
      <c r="E7" s="34" t="s">
        <v>15</v>
      </c>
      <c r="F7" s="35" t="s">
        <v>16</v>
      </c>
      <c r="G7" s="35"/>
      <c r="H7" s="35"/>
      <c r="I7" s="26"/>
      <c r="J7" s="23"/>
      <c r="K7" s="23"/>
      <c r="L7" s="23"/>
      <c r="M7" s="24"/>
      <c r="N7" s="24"/>
      <c r="O7" s="24"/>
    </row>
    <row r="8" spans="1:15">
      <c r="A8" s="18" t="s">
        <v>17</v>
      </c>
      <c r="B8" s="29"/>
      <c r="C8" s="30"/>
      <c r="D8" s="30"/>
      <c r="E8" s="32" t="s">
        <v>18</v>
      </c>
      <c r="F8" s="33" t="s">
        <v>19</v>
      </c>
      <c r="G8" s="33"/>
      <c r="H8" s="33"/>
      <c r="I8" s="26"/>
      <c r="J8" s="23"/>
      <c r="K8" s="23"/>
      <c r="L8" s="23"/>
      <c r="M8" s="24"/>
      <c r="N8" s="24"/>
      <c r="O8" s="24"/>
    </row>
    <row r="9" ht="14.25" customHeight="1" spans="1:15">
      <c r="A9" s="18" t="s">
        <v>20</v>
      </c>
      <c r="B9" s="29" t="e">
        <f>VLOOKUP(B3,地址库!A1:$N$628,11,FALSE)</f>
        <v>#N/A</v>
      </c>
      <c r="C9" s="30"/>
      <c r="D9" s="30"/>
      <c r="E9" s="18" t="s">
        <v>21</v>
      </c>
      <c r="F9" s="36"/>
      <c r="G9" s="36"/>
      <c r="H9" s="36"/>
      <c r="I9" s="26"/>
      <c r="J9" s="23"/>
      <c r="K9" s="23"/>
      <c r="L9" s="23"/>
      <c r="M9" s="24"/>
      <c r="N9" s="24"/>
      <c r="O9" s="24"/>
    </row>
    <row r="10" ht="14.25" customHeight="1" spans="1:15">
      <c r="A10" s="18" t="s">
        <v>22</v>
      </c>
      <c r="B10" s="29" t="e">
        <f>VLOOKUP(B3,地址库!A1:$N$628,12,FALSE)</f>
        <v>#N/A</v>
      </c>
      <c r="C10" s="30"/>
      <c r="D10" s="30"/>
      <c r="E10" s="32" t="s">
        <v>23</v>
      </c>
      <c r="F10" s="33"/>
      <c r="G10" s="33"/>
      <c r="H10" s="33"/>
      <c r="I10" s="26"/>
      <c r="J10" s="23"/>
      <c r="K10" s="23"/>
      <c r="L10" s="23"/>
      <c r="M10" s="24"/>
      <c r="N10" s="24"/>
      <c r="O10" s="24"/>
    </row>
    <row r="11" ht="14.25" customHeight="1" spans="1:15">
      <c r="A11" s="18" t="s">
        <v>24</v>
      </c>
      <c r="B11" s="37" t="e">
        <f>VLOOKUP(B3,地址库!A1:$N$628,14,FALSE)</f>
        <v>#N/A</v>
      </c>
      <c r="C11" s="38"/>
      <c r="D11" s="38"/>
      <c r="E11" s="18" t="s">
        <v>25</v>
      </c>
      <c r="F11" s="36"/>
      <c r="G11" s="36"/>
      <c r="H11" s="36"/>
      <c r="I11" s="26"/>
      <c r="J11" s="23"/>
      <c r="K11" s="23"/>
      <c r="L11" s="23"/>
      <c r="M11" s="24"/>
      <c r="N11" s="24"/>
      <c r="O11" s="24"/>
    </row>
    <row r="12" ht="12.4" spans="1:15">
      <c r="A12" s="18" t="s">
        <v>26</v>
      </c>
      <c r="B12" s="29" t="e">
        <f>VLOOKUP(B3,地址库!A1:$N$628,13,FALSE)</f>
        <v>#N/A</v>
      </c>
      <c r="C12" s="30"/>
      <c r="D12" s="30"/>
      <c r="E12" s="32" t="s">
        <v>27</v>
      </c>
      <c r="F12" s="39" t="s">
        <v>28</v>
      </c>
      <c r="G12" s="39"/>
      <c r="H12" s="39"/>
      <c r="I12" s="26"/>
      <c r="J12" s="23"/>
      <c r="K12" s="23"/>
      <c r="L12" s="23"/>
      <c r="M12" s="24"/>
      <c r="N12" s="24"/>
      <c r="O12" s="24"/>
    </row>
    <row r="13" ht="12.4" spans="1:15">
      <c r="A13" s="18" t="s">
        <v>29</v>
      </c>
      <c r="B13" s="29"/>
      <c r="C13" s="30"/>
      <c r="D13" s="30"/>
      <c r="E13" s="18" t="s">
        <v>30</v>
      </c>
      <c r="F13" s="21"/>
      <c r="G13" s="21"/>
      <c r="H13" s="21"/>
      <c r="I13" s="26"/>
      <c r="J13" s="40" t="s">
        <v>31</v>
      </c>
      <c r="K13" s="40" t="s">
        <v>32</v>
      </c>
      <c r="L13" s="40" t="s">
        <v>33</v>
      </c>
      <c r="M13" s="24"/>
      <c r="N13" s="24"/>
      <c r="O13" s="24"/>
    </row>
    <row r="14" spans="1:15">
      <c r="A14" s="18" t="s">
        <v>34</v>
      </c>
      <c r="B14" s="29"/>
      <c r="C14" s="30"/>
      <c r="D14" s="30"/>
      <c r="E14" s="41" t="s">
        <v>35</v>
      </c>
      <c r="F14" s="42"/>
      <c r="G14" s="42"/>
      <c r="H14" s="42"/>
      <c r="I14" s="43"/>
      <c r="J14" s="44" t="s">
        <v>36</v>
      </c>
      <c r="K14" s="40" t="e">
        <f>VLOOKUP(B2&amp;B3,预计送仓数据!A1:$E$1000,4,FALSE)</f>
        <v>#N/A</v>
      </c>
      <c r="L14" s="45" t="e">
        <f>K14+J14</f>
        <v>#N/A</v>
      </c>
      <c r="M14" s="24"/>
      <c r="N14" s="24"/>
      <c r="O14" s="24"/>
    </row>
    <row r="15" spans="1:15">
      <c r="A15" s="18" t="s">
        <v>37</v>
      </c>
      <c r="B15" s="46" t="s">
        <v>38</v>
      </c>
      <c r="C15" s="47"/>
      <c r="D15" s="47"/>
      <c r="E15" s="41" t="s">
        <v>39</v>
      </c>
      <c r="F15" s="42"/>
      <c r="G15" s="42"/>
      <c r="H15" s="42"/>
      <c r="I15" s="26"/>
      <c r="J15" s="23"/>
      <c r="K15" s="23"/>
      <c r="L15" s="23"/>
      <c r="M15" s="24"/>
      <c r="N15" s="24"/>
      <c r="O15" s="24"/>
    </row>
    <row r="16" ht="12.4" spans="1:15">
      <c r="A16" s="18" t="s">
        <v>40</v>
      </c>
      <c r="B16" s="19">
        <v>2</v>
      </c>
      <c r="C16" s="20"/>
      <c r="D16" s="20"/>
      <c r="E16" s="18"/>
      <c r="F16" s="21"/>
      <c r="G16" s="21"/>
      <c r="H16" s="21"/>
      <c r="I16" s="22"/>
      <c r="J16" s="23"/>
      <c r="K16" s="23"/>
      <c r="L16" s="23"/>
      <c r="M16" s="24"/>
      <c r="N16" s="24"/>
      <c r="O16" s="24"/>
    </row>
    <row r="17" s="16" customFormat="1" ht="28" customHeight="1" spans="1:17">
      <c r="A17" s="48" t="s">
        <v>41</v>
      </c>
      <c r="B17" s="48" t="s">
        <v>42</v>
      </c>
      <c r="C17" s="49" t="s">
        <v>43</v>
      </c>
      <c r="D17" s="49" t="s">
        <v>44</v>
      </c>
      <c r="E17" s="49" t="s">
        <v>45</v>
      </c>
      <c r="F17" s="50" t="s">
        <v>46</v>
      </c>
      <c r="G17" s="48" t="s">
        <v>47</v>
      </c>
      <c r="H17" s="48" t="s">
        <v>48</v>
      </c>
      <c r="I17" s="48" t="s">
        <v>49</v>
      </c>
      <c r="J17" s="51" t="s">
        <v>50</v>
      </c>
      <c r="K17" s="52" t="s">
        <v>51</v>
      </c>
      <c r="L17" s="52" t="s">
        <v>52</v>
      </c>
      <c r="M17" s="52" t="s">
        <v>53</v>
      </c>
      <c r="N17" s="52" t="s">
        <v>54</v>
      </c>
      <c r="O17" s="52" t="s">
        <v>55</v>
      </c>
      <c r="P17" s="52" t="s">
        <v>56</v>
      </c>
      <c r="Q17" s="52" t="s">
        <v>57</v>
      </c>
    </row>
    <row r="18" ht="50" customHeight="1" spans="1:17">
      <c r="A18" s="53"/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19" ht="50" customHeight="1" spans="1:17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ht="50" customHeight="1" spans="1:17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ht="50" customHeight="1" spans="1:17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ht="50" customHeight="1" spans="1:17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ht="50" customHeight="1" spans="1:17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ht="50" customHeight="1" spans="1:17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ht="50" customHeight="1" spans="1:17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ht="50" customHeight="1" spans="1:17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ht="50" customHeight="1" spans="1:17">
      <c r="A27" s="5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ht="50" customHeight="1" spans="1:17">
      <c r="A28" s="53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</row>
    <row r="29" ht="50" customHeight="1" spans="1:17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</row>
    <row r="30" ht="50" customHeight="1" spans="1:17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</row>
    <row r="31" ht="50" customHeight="1" spans="1:17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2" ht="50" customHeight="1" spans="1:17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  <row r="33" ht="50" customHeight="1" spans="1:17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</row>
    <row r="34" ht="50" customHeight="1" spans="1:17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</mergeCells>
  <dataValidations count="7">
    <dataValidation type="list" allowBlank="1" showInputMessage="1" showErrorMessage="1" sqref="B2:D2">
      <formula1>发货渠道!$A$2:$A$200</formula1>
    </dataValidation>
    <dataValidation type="list" allowBlank="1" showInputMessage="1" showErrorMessage="1" sqref="F6:H6">
      <formula1>报关方式!$A$1:$A$5</formula1>
    </dataValidation>
    <dataValidation type="list" allowBlank="1" showInputMessage="1" showErrorMessage="1" sqref="F7:H7">
      <formula1>"一般贸易清关"</formula1>
    </dataValidation>
    <dataValidation type="list" allowBlank="1" showInputMessage="1" showErrorMessage="1" sqref="F8:H8">
      <formula1>"包税,不包税,自主税号,自税递延"</formula1>
    </dataValidation>
    <dataValidation type="list" allowBlank="1" showInputMessage="1" showErrorMessage="1" sqref="F12:H12">
      <formula1>"美元,欧元,英镑"</formula1>
    </dataValidation>
    <dataValidation type="list" allowBlank="1" showInputMessage="1" showErrorMessage="1" sqref="B15:D15">
      <formula1>"交货仓库,深圳坂田仓库,义乌仓库"</formula1>
    </dataValidation>
    <dataValidation type="list" allowBlank="1" showInputMessage="1" showErrorMessage="1" sqref="F1:H5">
      <formula1>"否,是"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5"/>
  <sheetViews>
    <sheetView zoomScale="160" zoomScaleNormal="160" workbookViewId="0">
      <selection activeCell="D10" sqref="D10"/>
    </sheetView>
  </sheetViews>
  <sheetFormatPr defaultColWidth="8.87610619469027" defaultRowHeight="13.85" outlineLevelRow="4"/>
  <sheetData>
    <row r="1" spans="1:1">
      <c r="A1" s="11" t="s">
        <v>13</v>
      </c>
    </row>
    <row r="2" spans="1:1">
      <c r="A2" s="11" t="s">
        <v>58</v>
      </c>
    </row>
    <row r="3" spans="1:1">
      <c r="A3" s="11" t="s">
        <v>59</v>
      </c>
    </row>
    <row r="4" spans="1:1">
      <c r="A4" s="11">
        <v>9710</v>
      </c>
    </row>
    <row r="5" spans="1:1">
      <c r="A5" s="11">
        <v>9810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B95"/>
  <sheetViews>
    <sheetView zoomScale="145" zoomScaleNormal="145" workbookViewId="0">
      <selection activeCell="A2" sqref="A2"/>
    </sheetView>
  </sheetViews>
  <sheetFormatPr defaultColWidth="8.87610619469027" defaultRowHeight="13.85" outlineLevelCol="1"/>
  <cols>
    <col min="1" max="1" width="29.212389380531" style="11" customWidth="1"/>
    <col min="2" max="2" width="10.8761061946903" style="11" customWidth="1"/>
    <col min="3" max="16384" width="8.87610619469027" style="11"/>
  </cols>
  <sheetData>
    <row r="1" spans="1:2">
      <c r="A1" s="12" t="s">
        <v>60</v>
      </c>
      <c r="B1" s="11" t="s">
        <v>61</v>
      </c>
    </row>
    <row r="2" spans="1:2">
      <c r="A2" s="11" t="s">
        <v>62</v>
      </c>
      <c r="B2" s="11" t="s">
        <v>63</v>
      </c>
    </row>
    <row r="3" spans="1:2">
      <c r="A3" s="11" t="s">
        <v>64</v>
      </c>
      <c r="B3" s="11" t="s">
        <v>63</v>
      </c>
    </row>
    <row r="4" spans="1:2">
      <c r="A4" s="11" t="s">
        <v>65</v>
      </c>
      <c r="B4" s="11" t="s">
        <v>63</v>
      </c>
    </row>
    <row r="5" spans="1:2">
      <c r="A5" s="11" t="s">
        <v>66</v>
      </c>
      <c r="B5" s="11" t="s">
        <v>63</v>
      </c>
    </row>
    <row r="6" spans="1:2">
      <c r="A6" s="11" t="s">
        <v>67</v>
      </c>
      <c r="B6" s="11" t="s">
        <v>63</v>
      </c>
    </row>
    <row r="7" spans="1:2">
      <c r="A7" s="11" t="s">
        <v>68</v>
      </c>
      <c r="B7" s="11" t="s">
        <v>63</v>
      </c>
    </row>
    <row r="8" spans="1:2">
      <c r="A8" s="11" t="s">
        <v>69</v>
      </c>
      <c r="B8" s="11" t="s">
        <v>63</v>
      </c>
    </row>
    <row r="9" spans="1:2">
      <c r="A9" s="11" t="s">
        <v>70</v>
      </c>
      <c r="B9" s="11" t="s">
        <v>63</v>
      </c>
    </row>
    <row r="10" spans="1:2">
      <c r="A10" s="11" t="s">
        <v>71</v>
      </c>
      <c r="B10" s="11" t="s">
        <v>63</v>
      </c>
    </row>
    <row r="11" spans="1:2">
      <c r="A11" s="11" t="s">
        <v>72</v>
      </c>
      <c r="B11" s="11" t="s">
        <v>63</v>
      </c>
    </row>
    <row r="12" spans="1:2">
      <c r="A12" s="11" t="s">
        <v>73</v>
      </c>
      <c r="B12" s="11" t="s">
        <v>63</v>
      </c>
    </row>
    <row r="13" ht="13.9" spans="1:2">
      <c r="A13" s="13" t="s">
        <v>74</v>
      </c>
      <c r="B13" s="11" t="s">
        <v>63</v>
      </c>
    </row>
    <row r="14" spans="1:2">
      <c r="A14" s="11" t="s">
        <v>75</v>
      </c>
      <c r="B14" s="11" t="s">
        <v>63</v>
      </c>
    </row>
    <row r="15" spans="1:2">
      <c r="A15" s="11" t="s">
        <v>76</v>
      </c>
      <c r="B15" s="11" t="s">
        <v>63</v>
      </c>
    </row>
    <row r="16" spans="1:2">
      <c r="A16" s="11" t="s">
        <v>77</v>
      </c>
      <c r="B16" s="11" t="s">
        <v>63</v>
      </c>
    </row>
    <row r="17" spans="1:2">
      <c r="A17" s="11" t="s">
        <v>78</v>
      </c>
      <c r="B17" s="11" t="s">
        <v>63</v>
      </c>
    </row>
    <row r="18" spans="1:2">
      <c r="A18" s="11" t="s">
        <v>79</v>
      </c>
      <c r="B18" s="11" t="s">
        <v>63</v>
      </c>
    </row>
    <row r="19" spans="1:2">
      <c r="A19" s="11" t="s">
        <v>80</v>
      </c>
      <c r="B19" s="11" t="s">
        <v>63</v>
      </c>
    </row>
    <row r="20" spans="1:2">
      <c r="A20" s="11" t="s">
        <v>81</v>
      </c>
      <c r="B20" s="11" t="s">
        <v>63</v>
      </c>
    </row>
    <row r="21" spans="1:2">
      <c r="A21" s="11" t="s">
        <v>82</v>
      </c>
      <c r="B21" s="11" t="s">
        <v>63</v>
      </c>
    </row>
    <row r="22" spans="1:2">
      <c r="A22" s="11" t="s">
        <v>83</v>
      </c>
      <c r="B22" s="11" t="s">
        <v>63</v>
      </c>
    </row>
    <row r="23" spans="1:2">
      <c r="A23" s="11" t="s">
        <v>84</v>
      </c>
      <c r="B23" s="11" t="s">
        <v>63</v>
      </c>
    </row>
    <row r="24" spans="1:2">
      <c r="A24" s="11" t="s">
        <v>85</v>
      </c>
      <c r="B24" s="11" t="s">
        <v>63</v>
      </c>
    </row>
    <row r="25" spans="1:2">
      <c r="A25" s="11" t="s">
        <v>86</v>
      </c>
      <c r="B25" s="11" t="s">
        <v>63</v>
      </c>
    </row>
    <row r="26" spans="1:2">
      <c r="A26" s="11" t="s">
        <v>87</v>
      </c>
      <c r="B26" s="11" t="s">
        <v>63</v>
      </c>
    </row>
    <row r="27" spans="1:2">
      <c r="A27" s="11" t="s">
        <v>88</v>
      </c>
      <c r="B27" s="11" t="s">
        <v>63</v>
      </c>
    </row>
    <row r="28" spans="1:2">
      <c r="A28" s="11" t="s">
        <v>89</v>
      </c>
      <c r="B28" s="11" t="s">
        <v>63</v>
      </c>
    </row>
    <row r="29" spans="1:2">
      <c r="A29" s="11" t="s">
        <v>90</v>
      </c>
      <c r="B29" s="11" t="s">
        <v>63</v>
      </c>
    </row>
    <row r="30" spans="1:2">
      <c r="A30" s="11" t="s">
        <v>91</v>
      </c>
      <c r="B30" s="11" t="s">
        <v>63</v>
      </c>
    </row>
    <row r="31" spans="1:2">
      <c r="A31" s="11" t="s">
        <v>92</v>
      </c>
      <c r="B31" s="11" t="s">
        <v>63</v>
      </c>
    </row>
    <row r="32" spans="1:2">
      <c r="A32" s="11" t="s">
        <v>93</v>
      </c>
      <c r="B32" s="11" t="s">
        <v>63</v>
      </c>
    </row>
    <row r="33" spans="1:2">
      <c r="A33" s="11" t="s">
        <v>94</v>
      </c>
      <c r="B33" s="11" t="s">
        <v>63</v>
      </c>
    </row>
    <row r="34" spans="1:2">
      <c r="A34" s="11" t="s">
        <v>95</v>
      </c>
      <c r="B34" s="11" t="s">
        <v>63</v>
      </c>
    </row>
    <row r="35" spans="1:2">
      <c r="A35" s="11" t="s">
        <v>96</v>
      </c>
      <c r="B35" s="11" t="s">
        <v>63</v>
      </c>
    </row>
    <row r="36" spans="1:2">
      <c r="A36" s="14" t="s">
        <v>97</v>
      </c>
      <c r="B36" s="14" t="s">
        <v>98</v>
      </c>
    </row>
    <row r="37" spans="1:2">
      <c r="A37" s="11" t="s">
        <v>99</v>
      </c>
      <c r="B37" s="11" t="s">
        <v>98</v>
      </c>
    </row>
    <row r="38" spans="1:2">
      <c r="A38" s="14" t="s">
        <v>100</v>
      </c>
      <c r="B38" s="14" t="s">
        <v>98</v>
      </c>
    </row>
    <row r="39" spans="1:2">
      <c r="A39" s="11" t="s">
        <v>101</v>
      </c>
      <c r="B39" s="11" t="s">
        <v>98</v>
      </c>
    </row>
    <row r="40" spans="1:2">
      <c r="A40" s="11" t="s">
        <v>102</v>
      </c>
      <c r="B40" s="11" t="s">
        <v>98</v>
      </c>
    </row>
    <row r="41" spans="1:2">
      <c r="A41" s="14" t="s">
        <v>103</v>
      </c>
      <c r="B41" s="14" t="s">
        <v>98</v>
      </c>
    </row>
    <row r="42" spans="1:2">
      <c r="A42" s="11" t="s">
        <v>104</v>
      </c>
      <c r="B42" s="11" t="s">
        <v>98</v>
      </c>
    </row>
    <row r="43" spans="1:2">
      <c r="A43" s="11" t="s">
        <v>105</v>
      </c>
      <c r="B43" s="11" t="s">
        <v>98</v>
      </c>
    </row>
    <row r="44" spans="1:2">
      <c r="A44" s="11" t="s">
        <v>106</v>
      </c>
      <c r="B44" s="11" t="s">
        <v>98</v>
      </c>
    </row>
    <row r="45" spans="1:2">
      <c r="A45" s="11" t="s">
        <v>107</v>
      </c>
      <c r="B45" s="11" t="s">
        <v>98</v>
      </c>
    </row>
    <row r="46" spans="1:2">
      <c r="A46" s="14" t="s">
        <v>108</v>
      </c>
      <c r="B46" s="14" t="s">
        <v>98</v>
      </c>
    </row>
    <row r="47" spans="1:2">
      <c r="A47" s="11" t="s">
        <v>109</v>
      </c>
      <c r="B47" s="11" t="s">
        <v>98</v>
      </c>
    </row>
    <row r="48" spans="1:2">
      <c r="A48" s="11" t="s">
        <v>110</v>
      </c>
      <c r="B48" s="11" t="s">
        <v>111</v>
      </c>
    </row>
    <row r="49" spans="1:2">
      <c r="A49" s="11" t="s">
        <v>112</v>
      </c>
      <c r="B49" s="11" t="s">
        <v>113</v>
      </c>
    </row>
    <row r="50" spans="1:2">
      <c r="A50" s="11" t="s">
        <v>114</v>
      </c>
      <c r="B50" s="11" t="s">
        <v>113</v>
      </c>
    </row>
    <row r="51" spans="1:2">
      <c r="A51" s="11" t="s">
        <v>115</v>
      </c>
      <c r="B51" s="11" t="s">
        <v>116</v>
      </c>
    </row>
    <row r="52" spans="1:2">
      <c r="A52" s="11" t="s">
        <v>117</v>
      </c>
      <c r="B52" s="11" t="s">
        <v>116</v>
      </c>
    </row>
    <row r="53" spans="1:2">
      <c r="A53" s="11" t="s">
        <v>118</v>
      </c>
      <c r="B53" s="11" t="s">
        <v>116</v>
      </c>
    </row>
    <row r="54" spans="1:2">
      <c r="A54" s="11" t="s">
        <v>119</v>
      </c>
      <c r="B54" s="11" t="s">
        <v>116</v>
      </c>
    </row>
    <row r="55" spans="1:2">
      <c r="A55" s="11" t="s">
        <v>120</v>
      </c>
      <c r="B55" s="11" t="s">
        <v>116</v>
      </c>
    </row>
    <row r="56" spans="1:2">
      <c r="A56" s="11" t="s">
        <v>121</v>
      </c>
      <c r="B56" s="11" t="s">
        <v>116</v>
      </c>
    </row>
    <row r="57" spans="1:2">
      <c r="A57" s="11" t="s">
        <v>122</v>
      </c>
      <c r="B57" s="11" t="s">
        <v>123</v>
      </c>
    </row>
    <row r="58" spans="1:2">
      <c r="A58" s="11" t="s">
        <v>124</v>
      </c>
      <c r="B58" s="11" t="s">
        <v>123</v>
      </c>
    </row>
    <row r="59" spans="1:2">
      <c r="A59" s="11" t="s">
        <v>125</v>
      </c>
      <c r="B59" s="11" t="s">
        <v>123</v>
      </c>
    </row>
    <row r="60" spans="1:2">
      <c r="A60" s="11" t="s">
        <v>126</v>
      </c>
      <c r="B60" s="11" t="s">
        <v>123</v>
      </c>
    </row>
    <row r="61" spans="1:2">
      <c r="A61" s="11" t="s">
        <v>127</v>
      </c>
      <c r="B61" s="11" t="s">
        <v>123</v>
      </c>
    </row>
    <row r="62" spans="1:2">
      <c r="A62" s="11" t="s">
        <v>128</v>
      </c>
      <c r="B62" s="11" t="s">
        <v>123</v>
      </c>
    </row>
    <row r="63" spans="1:2">
      <c r="A63" s="11" t="s">
        <v>129</v>
      </c>
      <c r="B63" s="11" t="s">
        <v>123</v>
      </c>
    </row>
    <row r="64" spans="1:2">
      <c r="A64" s="11" t="s">
        <v>130</v>
      </c>
      <c r="B64" s="11" t="s">
        <v>123</v>
      </c>
    </row>
    <row r="65" spans="1:2">
      <c r="A65" s="11" t="s">
        <v>131</v>
      </c>
      <c r="B65" s="11" t="s">
        <v>123</v>
      </c>
    </row>
    <row r="66" spans="1:2">
      <c r="A66" s="11" t="s">
        <v>132</v>
      </c>
      <c r="B66" s="11" t="s">
        <v>123</v>
      </c>
    </row>
    <row r="67" spans="1:2">
      <c r="A67" s="11" t="s">
        <v>133</v>
      </c>
      <c r="B67" s="11" t="s">
        <v>123</v>
      </c>
    </row>
    <row r="68" spans="1:2">
      <c r="A68" s="11" t="s">
        <v>134</v>
      </c>
      <c r="B68" s="11" t="s">
        <v>123</v>
      </c>
    </row>
    <row r="69" spans="1:2">
      <c r="A69" s="15" t="s">
        <v>135</v>
      </c>
      <c r="B69" s="15" t="s">
        <v>123</v>
      </c>
    </row>
    <row r="70" spans="1:2">
      <c r="A70" s="11" t="s">
        <v>136</v>
      </c>
      <c r="B70" s="11" t="s">
        <v>123</v>
      </c>
    </row>
    <row r="71" spans="1:2">
      <c r="A71" s="11" t="s">
        <v>137</v>
      </c>
      <c r="B71" s="11" t="s">
        <v>123</v>
      </c>
    </row>
    <row r="72" spans="1:2">
      <c r="A72" s="11" t="s">
        <v>138</v>
      </c>
      <c r="B72" s="11" t="s">
        <v>139</v>
      </c>
    </row>
    <row r="73" spans="1:2">
      <c r="A73" s="11" t="s">
        <v>140</v>
      </c>
      <c r="B73" s="11" t="s">
        <v>139</v>
      </c>
    </row>
    <row r="74" spans="1:2">
      <c r="A74" s="11" t="s">
        <v>141</v>
      </c>
      <c r="B74" s="11" t="s">
        <v>139</v>
      </c>
    </row>
    <row r="75" spans="1:2">
      <c r="A75" s="11" t="s">
        <v>142</v>
      </c>
      <c r="B75" s="11" t="s">
        <v>139</v>
      </c>
    </row>
    <row r="76" spans="1:2">
      <c r="A76" s="11" t="s">
        <v>143</v>
      </c>
      <c r="B76" s="11" t="s">
        <v>139</v>
      </c>
    </row>
    <row r="77" spans="1:2">
      <c r="A77" s="11" t="s">
        <v>144</v>
      </c>
      <c r="B77" s="11" t="s">
        <v>139</v>
      </c>
    </row>
    <row r="78" spans="1:2">
      <c r="A78" s="11" t="s">
        <v>145</v>
      </c>
      <c r="B78" s="11" t="s">
        <v>146</v>
      </c>
    </row>
    <row r="79" spans="1:2">
      <c r="A79" s="11" t="s">
        <v>147</v>
      </c>
      <c r="B79" s="11" t="s">
        <v>148</v>
      </c>
    </row>
    <row r="80" spans="1:2">
      <c r="A80" s="11" t="s">
        <v>149</v>
      </c>
      <c r="B80" s="11" t="s">
        <v>148</v>
      </c>
    </row>
    <row r="81" spans="1:2">
      <c r="A81" s="11" t="s">
        <v>150</v>
      </c>
      <c r="B81" s="11" t="s">
        <v>148</v>
      </c>
    </row>
    <row r="82" spans="1:2">
      <c r="A82" s="11" t="s">
        <v>151</v>
      </c>
      <c r="B82" s="11" t="s">
        <v>148</v>
      </c>
    </row>
    <row r="83" spans="1:2">
      <c r="A83" s="11" t="s">
        <v>152</v>
      </c>
      <c r="B83" s="11" t="s">
        <v>148</v>
      </c>
    </row>
    <row r="84" spans="1:2">
      <c r="A84" s="11" t="s">
        <v>153</v>
      </c>
      <c r="B84" s="11" t="s">
        <v>148</v>
      </c>
    </row>
    <row r="85" spans="1:2">
      <c r="A85" s="11" t="s">
        <v>154</v>
      </c>
      <c r="B85" s="11" t="s">
        <v>148</v>
      </c>
    </row>
    <row r="86" spans="1:2">
      <c r="A86" s="11" t="s">
        <v>155</v>
      </c>
      <c r="B86" s="11" t="s">
        <v>148</v>
      </c>
    </row>
    <row r="87" spans="1:2">
      <c r="A87" s="11" t="s">
        <v>156</v>
      </c>
      <c r="B87" s="11" t="s">
        <v>148</v>
      </c>
    </row>
    <row r="88" spans="1:2">
      <c r="A88" s="11" t="s">
        <v>157</v>
      </c>
      <c r="B88" s="11" t="s">
        <v>148</v>
      </c>
    </row>
    <row r="89" spans="1:2">
      <c r="A89" s="11" t="s">
        <v>158</v>
      </c>
      <c r="B89" s="11" t="s">
        <v>148</v>
      </c>
    </row>
    <row r="90" ht="14" customHeight="1" spans="1:2">
      <c r="A90" s="11" t="s">
        <v>159</v>
      </c>
      <c r="B90" s="11" t="s">
        <v>160</v>
      </c>
    </row>
    <row r="91" spans="1:2">
      <c r="A91" s="11" t="s">
        <v>161</v>
      </c>
      <c r="B91" s="11" t="s">
        <v>160</v>
      </c>
    </row>
    <row r="92" spans="1:2">
      <c r="A92" s="11" t="s">
        <v>162</v>
      </c>
      <c r="B92" s="11" t="s">
        <v>160</v>
      </c>
    </row>
    <row r="93" spans="1:2">
      <c r="A93" s="11" t="s">
        <v>163</v>
      </c>
      <c r="B93" s="11" t="s">
        <v>160</v>
      </c>
    </row>
    <row r="94" spans="1:2">
      <c r="A94" s="11" t="s">
        <v>164</v>
      </c>
      <c r="B94" s="11" t="s">
        <v>165</v>
      </c>
    </row>
    <row r="95" spans="1:2">
      <c r="A95" s="11" t="s">
        <v>166</v>
      </c>
      <c r="B95" s="11" t="s">
        <v>165</v>
      </c>
    </row>
  </sheetData>
  <conditionalFormatting sqref="A4">
    <cfRule type="duplicateValues" dxfId="0" priority="3"/>
    <cfRule type="duplicateValues" dxfId="0" priority="4"/>
  </conditionalFormatting>
  <conditionalFormatting sqref="A51">
    <cfRule type="duplicateValues" dxfId="0" priority="7"/>
    <cfRule type="duplicateValues" dxfId="0" priority="8"/>
  </conditionalFormatting>
  <conditionalFormatting sqref="A54">
    <cfRule type="duplicateValues" dxfId="0" priority="5"/>
    <cfRule type="duplicateValues" dxfId="0" priority="6"/>
  </conditionalFormatting>
  <conditionalFormatting sqref="A2:A3">
    <cfRule type="duplicateValues" dxfId="0" priority="1"/>
    <cfRule type="duplicateValues" dxfId="0" priority="2"/>
  </conditionalFormatting>
  <conditionalFormatting sqref="A5:A6">
    <cfRule type="duplicateValues" dxfId="0" priority="9"/>
    <cfRule type="duplicateValues" dxfId="0" priority="10"/>
  </conditionalFormatting>
  <conditionalFormatting sqref="A1 A7:A50 A52:A53 A55:A65536">
    <cfRule type="duplicateValues" dxfId="0" priority="11"/>
    <cfRule type="duplicateValues" dxfId="0" priority="1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6"/>
  </sheetPr>
  <dimension ref="A1:N582"/>
  <sheetViews>
    <sheetView zoomScale="85" zoomScaleNormal="85" topLeftCell="A424" workbookViewId="0">
      <selection activeCell="F444" sqref="F444"/>
    </sheetView>
  </sheetViews>
  <sheetFormatPr defaultColWidth="9" defaultRowHeight="13.85"/>
  <cols>
    <col min="1" max="4" width="12.6283185840708" customWidth="1"/>
    <col min="5" max="5" width="23.8761061946903" customWidth="1"/>
    <col min="6" max="6" width="11.5044247787611" customWidth="1"/>
    <col min="7" max="7" width="8.87610619469027" customWidth="1"/>
    <col min="8" max="8" width="54.3716814159292" customWidth="1"/>
    <col min="9" max="10" width="7" customWidth="1"/>
    <col min="11" max="11" width="18.2477876106195" customWidth="1"/>
    <col min="12" max="12" width="22.3716814159292" customWidth="1"/>
    <col min="13" max="13" width="5.87610619469027" customWidth="1"/>
    <col min="14" max="14" width="11.5044247787611" style="5" customWidth="1"/>
  </cols>
  <sheetData>
    <row r="1" ht="27" customHeight="1" spans="1:14">
      <c r="A1" s="6" t="s">
        <v>167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  <c r="M2" t="s">
        <v>180</v>
      </c>
      <c r="N2" s="5" t="s">
        <v>181</v>
      </c>
    </row>
    <row r="3" spans="1:14">
      <c r="A3" t="s">
        <v>182</v>
      </c>
      <c r="B3" t="s">
        <v>182</v>
      </c>
      <c r="C3" t="s">
        <v>182</v>
      </c>
      <c r="D3" t="s">
        <v>182</v>
      </c>
      <c r="E3" t="s">
        <v>183</v>
      </c>
      <c r="F3" t="s">
        <v>184</v>
      </c>
      <c r="H3" t="s">
        <v>185</v>
      </c>
      <c r="K3" t="s">
        <v>186</v>
      </c>
      <c r="L3" t="s">
        <v>187</v>
      </c>
      <c r="M3" t="s">
        <v>188</v>
      </c>
      <c r="N3" s="9" t="s">
        <v>189</v>
      </c>
    </row>
    <row r="4" spans="1:14">
      <c r="A4" t="s">
        <v>190</v>
      </c>
      <c r="B4" t="s">
        <v>190</v>
      </c>
      <c r="C4" t="s">
        <v>190</v>
      </c>
      <c r="D4" t="s">
        <v>190</v>
      </c>
      <c r="E4" t="s">
        <v>183</v>
      </c>
      <c r="F4" t="s">
        <v>184</v>
      </c>
      <c r="H4" t="s">
        <v>191</v>
      </c>
      <c r="K4" t="s">
        <v>192</v>
      </c>
      <c r="L4" t="s">
        <v>187</v>
      </c>
      <c r="M4" t="s">
        <v>188</v>
      </c>
      <c r="N4" s="5" t="s">
        <v>193</v>
      </c>
    </row>
    <row r="5" spans="1:14">
      <c r="A5" t="s">
        <v>194</v>
      </c>
      <c r="B5" t="s">
        <v>194</v>
      </c>
      <c r="C5" t="s">
        <v>194</v>
      </c>
      <c r="D5" t="s">
        <v>194</v>
      </c>
      <c r="E5" t="s">
        <v>183</v>
      </c>
      <c r="F5" t="s">
        <v>184</v>
      </c>
      <c r="H5" t="s">
        <v>195</v>
      </c>
      <c r="K5" t="s">
        <v>196</v>
      </c>
      <c r="L5" t="s">
        <v>187</v>
      </c>
      <c r="M5" t="s">
        <v>188</v>
      </c>
      <c r="N5" s="5" t="s">
        <v>197</v>
      </c>
    </row>
    <row r="6" spans="1:14">
      <c r="A6" t="s">
        <v>198</v>
      </c>
      <c r="B6" t="s">
        <v>198</v>
      </c>
      <c r="C6" t="s">
        <v>198</v>
      </c>
      <c r="D6" t="s">
        <v>198</v>
      </c>
      <c r="E6" t="s">
        <v>183</v>
      </c>
      <c r="F6" t="s">
        <v>184</v>
      </c>
      <c r="H6" t="s">
        <v>199</v>
      </c>
      <c r="K6" t="s">
        <v>200</v>
      </c>
      <c r="L6" t="s">
        <v>187</v>
      </c>
      <c r="M6" t="s">
        <v>188</v>
      </c>
      <c r="N6" s="5" t="s">
        <v>201</v>
      </c>
    </row>
    <row r="7" spans="1:14">
      <c r="A7" t="s">
        <v>202</v>
      </c>
      <c r="B7" t="s">
        <v>202</v>
      </c>
      <c r="C7" t="s">
        <v>202</v>
      </c>
      <c r="D7" t="s">
        <v>202</v>
      </c>
      <c r="E7" t="s">
        <v>183</v>
      </c>
      <c r="F7" t="s">
        <v>184</v>
      </c>
      <c r="H7" t="s">
        <v>203</v>
      </c>
      <c r="K7" t="s">
        <v>204</v>
      </c>
      <c r="L7" t="s">
        <v>187</v>
      </c>
      <c r="M7" t="s">
        <v>188</v>
      </c>
      <c r="N7" s="5" t="s">
        <v>205</v>
      </c>
    </row>
    <row r="8" spans="1:14">
      <c r="A8" t="s">
        <v>206</v>
      </c>
      <c r="B8" t="s">
        <v>206</v>
      </c>
      <c r="C8" t="s">
        <v>206</v>
      </c>
      <c r="D8" t="s">
        <v>206</v>
      </c>
      <c r="E8" t="s">
        <v>183</v>
      </c>
      <c r="F8" t="s">
        <v>184</v>
      </c>
      <c r="H8" t="s">
        <v>207</v>
      </c>
      <c r="K8" t="s">
        <v>204</v>
      </c>
      <c r="L8" t="s">
        <v>187</v>
      </c>
      <c r="M8" t="s">
        <v>188</v>
      </c>
      <c r="N8" s="5" t="s">
        <v>205</v>
      </c>
    </row>
    <row r="9" spans="1:14">
      <c r="A9" t="s">
        <v>208</v>
      </c>
      <c r="B9" t="s">
        <v>208</v>
      </c>
      <c r="C9" t="s">
        <v>208</v>
      </c>
      <c r="D9" t="s">
        <v>208</v>
      </c>
      <c r="E9" t="s">
        <v>183</v>
      </c>
      <c r="F9" t="s">
        <v>184</v>
      </c>
      <c r="H9" t="s">
        <v>203</v>
      </c>
      <c r="K9" t="s">
        <v>204</v>
      </c>
      <c r="L9" t="s">
        <v>187</v>
      </c>
      <c r="M9" t="s">
        <v>188</v>
      </c>
      <c r="N9" s="5" t="s">
        <v>205</v>
      </c>
    </row>
    <row r="10" spans="1:14">
      <c r="A10" t="s">
        <v>209</v>
      </c>
      <c r="B10" t="s">
        <v>209</v>
      </c>
      <c r="C10" t="s">
        <v>209</v>
      </c>
      <c r="D10" t="s">
        <v>209</v>
      </c>
      <c r="E10" t="s">
        <v>183</v>
      </c>
      <c r="F10" t="s">
        <v>184</v>
      </c>
      <c r="H10" t="s">
        <v>210</v>
      </c>
      <c r="K10" t="s">
        <v>211</v>
      </c>
      <c r="L10" t="s">
        <v>187</v>
      </c>
      <c r="M10" t="s">
        <v>188</v>
      </c>
      <c r="N10" s="5" t="s">
        <v>212</v>
      </c>
    </row>
    <row r="11" spans="1:14">
      <c r="A11" t="s">
        <v>213</v>
      </c>
      <c r="B11" t="s">
        <v>213</v>
      </c>
      <c r="C11" t="s">
        <v>213</v>
      </c>
      <c r="D11" t="s">
        <v>213</v>
      </c>
      <c r="E11" t="s">
        <v>183</v>
      </c>
      <c r="F11" t="s">
        <v>184</v>
      </c>
      <c r="H11" t="s">
        <v>214</v>
      </c>
      <c r="K11" t="s">
        <v>215</v>
      </c>
      <c r="L11" t="s">
        <v>187</v>
      </c>
      <c r="M11" t="s">
        <v>188</v>
      </c>
      <c r="N11" s="5" t="s">
        <v>212</v>
      </c>
    </row>
    <row r="12" spans="1:14">
      <c r="A12" t="s">
        <v>216</v>
      </c>
      <c r="B12" t="s">
        <v>216</v>
      </c>
      <c r="C12" t="s">
        <v>216</v>
      </c>
      <c r="D12" t="s">
        <v>216</v>
      </c>
      <c r="E12" t="s">
        <v>183</v>
      </c>
      <c r="F12" t="s">
        <v>184</v>
      </c>
      <c r="H12" t="s">
        <v>217</v>
      </c>
      <c r="K12" t="s">
        <v>218</v>
      </c>
      <c r="L12" t="s">
        <v>187</v>
      </c>
      <c r="M12" t="s">
        <v>188</v>
      </c>
      <c r="N12" s="5" t="s">
        <v>219</v>
      </c>
    </row>
    <row r="13" spans="1:14">
      <c r="A13" t="s">
        <v>220</v>
      </c>
      <c r="B13" t="s">
        <v>220</v>
      </c>
      <c r="C13" t="s">
        <v>220</v>
      </c>
      <c r="D13" t="s">
        <v>220</v>
      </c>
      <c r="E13" t="s">
        <v>183</v>
      </c>
      <c r="F13" t="s">
        <v>184</v>
      </c>
      <c r="H13" t="s">
        <v>221</v>
      </c>
      <c r="K13" t="s">
        <v>222</v>
      </c>
      <c r="L13" t="s">
        <v>187</v>
      </c>
      <c r="M13" t="s">
        <v>188</v>
      </c>
      <c r="N13" s="5" t="s">
        <v>219</v>
      </c>
    </row>
    <row r="14" spans="1:14">
      <c r="A14" t="s">
        <v>223</v>
      </c>
      <c r="B14" t="s">
        <v>223</v>
      </c>
      <c r="C14" t="s">
        <v>223</v>
      </c>
      <c r="D14" t="s">
        <v>223</v>
      </c>
      <c r="E14" t="s">
        <v>183</v>
      </c>
      <c r="F14" t="s">
        <v>184</v>
      </c>
      <c r="H14" t="s">
        <v>224</v>
      </c>
      <c r="K14" t="s">
        <v>225</v>
      </c>
      <c r="L14" t="s">
        <v>187</v>
      </c>
      <c r="M14" t="s">
        <v>188</v>
      </c>
      <c r="N14" s="5" t="s">
        <v>226</v>
      </c>
    </row>
    <row r="15" spans="1:14">
      <c r="A15" t="s">
        <v>227</v>
      </c>
      <c r="B15" t="s">
        <v>227</v>
      </c>
      <c r="C15" t="s">
        <v>227</v>
      </c>
      <c r="D15" t="s">
        <v>227</v>
      </c>
      <c r="E15" t="s">
        <v>183</v>
      </c>
      <c r="F15" t="s">
        <v>184</v>
      </c>
      <c r="H15" t="s">
        <v>228</v>
      </c>
      <c r="K15" t="s">
        <v>229</v>
      </c>
      <c r="L15" t="s">
        <v>187</v>
      </c>
      <c r="M15" t="s">
        <v>188</v>
      </c>
      <c r="N15" s="5" t="s">
        <v>230</v>
      </c>
    </row>
    <row r="16" spans="1:14">
      <c r="A16" t="s">
        <v>231</v>
      </c>
      <c r="B16" t="s">
        <v>231</v>
      </c>
      <c r="C16" t="s">
        <v>231</v>
      </c>
      <c r="D16" t="s">
        <v>231</v>
      </c>
      <c r="E16" t="s">
        <v>183</v>
      </c>
      <c r="F16" t="s">
        <v>184</v>
      </c>
      <c r="H16" t="s">
        <v>232</v>
      </c>
      <c r="K16" t="s">
        <v>229</v>
      </c>
      <c r="L16" t="s">
        <v>187</v>
      </c>
      <c r="M16" t="s">
        <v>188</v>
      </c>
      <c r="N16" s="5" t="s">
        <v>230</v>
      </c>
    </row>
    <row r="17" spans="1:14">
      <c r="A17" t="s">
        <v>233</v>
      </c>
      <c r="B17" t="s">
        <v>233</v>
      </c>
      <c r="C17" t="s">
        <v>233</v>
      </c>
      <c r="D17" t="s">
        <v>233</v>
      </c>
      <c r="E17" t="s">
        <v>183</v>
      </c>
      <c r="F17" t="s">
        <v>184</v>
      </c>
      <c r="H17" t="s">
        <v>234</v>
      </c>
      <c r="K17" t="s">
        <v>235</v>
      </c>
      <c r="L17" t="s">
        <v>187</v>
      </c>
      <c r="M17" t="s">
        <v>188</v>
      </c>
      <c r="N17" s="5" t="s">
        <v>236</v>
      </c>
    </row>
    <row r="18" spans="1:14">
      <c r="A18" t="s">
        <v>237</v>
      </c>
      <c r="B18" t="s">
        <v>237</v>
      </c>
      <c r="C18" t="s">
        <v>237</v>
      </c>
      <c r="D18" t="s">
        <v>237</v>
      </c>
      <c r="E18" t="s">
        <v>183</v>
      </c>
      <c r="F18" t="s">
        <v>184</v>
      </c>
      <c r="H18" t="s">
        <v>238</v>
      </c>
      <c r="K18" t="s">
        <v>239</v>
      </c>
      <c r="L18" t="s">
        <v>187</v>
      </c>
      <c r="M18" t="s">
        <v>188</v>
      </c>
      <c r="N18" s="5" t="s">
        <v>240</v>
      </c>
    </row>
    <row r="19" spans="1:14">
      <c r="A19" t="s">
        <v>241</v>
      </c>
      <c r="B19" t="s">
        <v>241</v>
      </c>
      <c r="C19" t="s">
        <v>241</v>
      </c>
      <c r="D19" t="s">
        <v>241</v>
      </c>
      <c r="E19" t="s">
        <v>183</v>
      </c>
      <c r="F19" t="s">
        <v>184</v>
      </c>
      <c r="H19" t="s">
        <v>242</v>
      </c>
      <c r="K19" t="s">
        <v>243</v>
      </c>
      <c r="L19" t="s">
        <v>187</v>
      </c>
      <c r="M19" t="s">
        <v>188</v>
      </c>
      <c r="N19" s="5" t="s">
        <v>244</v>
      </c>
    </row>
    <row r="20" spans="1:14">
      <c r="A20" t="s">
        <v>245</v>
      </c>
      <c r="B20" t="s">
        <v>245</v>
      </c>
      <c r="C20" t="s">
        <v>245</v>
      </c>
      <c r="D20" t="s">
        <v>245</v>
      </c>
      <c r="E20" t="s">
        <v>183</v>
      </c>
      <c r="F20" t="s">
        <v>184</v>
      </c>
      <c r="H20" t="s">
        <v>242</v>
      </c>
      <c r="K20" t="s">
        <v>243</v>
      </c>
      <c r="L20" t="s">
        <v>187</v>
      </c>
      <c r="M20" t="s">
        <v>188</v>
      </c>
      <c r="N20" s="5" t="s">
        <v>244</v>
      </c>
    </row>
    <row r="21" spans="1:14">
      <c r="A21" t="s">
        <v>246</v>
      </c>
      <c r="B21" t="s">
        <v>246</v>
      </c>
      <c r="C21" t="s">
        <v>246</v>
      </c>
      <c r="D21" t="s">
        <v>246</v>
      </c>
      <c r="E21" t="s">
        <v>183</v>
      </c>
      <c r="F21" t="s">
        <v>184</v>
      </c>
      <c r="H21" t="s">
        <v>247</v>
      </c>
      <c r="K21" t="s">
        <v>248</v>
      </c>
      <c r="L21" t="s">
        <v>249</v>
      </c>
      <c r="M21" t="s">
        <v>188</v>
      </c>
      <c r="N21" s="5" t="s">
        <v>250</v>
      </c>
    </row>
    <row r="22" spans="1:14">
      <c r="A22" t="s">
        <v>251</v>
      </c>
      <c r="B22" t="s">
        <v>251</v>
      </c>
      <c r="C22" t="s">
        <v>251</v>
      </c>
      <c r="D22" t="s">
        <v>251</v>
      </c>
      <c r="E22" t="s">
        <v>183</v>
      </c>
      <c r="F22" t="s">
        <v>184</v>
      </c>
      <c r="H22" t="s">
        <v>252</v>
      </c>
      <c r="K22" t="s">
        <v>253</v>
      </c>
      <c r="L22" t="s">
        <v>249</v>
      </c>
      <c r="M22" t="s">
        <v>188</v>
      </c>
      <c r="N22" s="5" t="s">
        <v>254</v>
      </c>
    </row>
    <row r="23" spans="1:14">
      <c r="A23" t="s">
        <v>255</v>
      </c>
      <c r="B23" t="s">
        <v>255</v>
      </c>
      <c r="C23" t="s">
        <v>255</v>
      </c>
      <c r="D23" t="s">
        <v>255</v>
      </c>
      <c r="E23" t="s">
        <v>183</v>
      </c>
      <c r="F23" t="s">
        <v>184</v>
      </c>
      <c r="H23" t="s">
        <v>256</v>
      </c>
      <c r="K23" t="s">
        <v>257</v>
      </c>
      <c r="L23" t="s">
        <v>249</v>
      </c>
      <c r="M23" t="s">
        <v>188</v>
      </c>
      <c r="N23" s="5" t="s">
        <v>258</v>
      </c>
    </row>
    <row r="24" spans="1:14">
      <c r="A24" t="s">
        <v>259</v>
      </c>
      <c r="B24" t="s">
        <v>259</v>
      </c>
      <c r="C24" t="s">
        <v>259</v>
      </c>
      <c r="D24" t="s">
        <v>259</v>
      </c>
      <c r="E24" t="s">
        <v>183</v>
      </c>
      <c r="F24" t="s">
        <v>184</v>
      </c>
      <c r="H24" t="s">
        <v>260</v>
      </c>
      <c r="K24" t="s">
        <v>261</v>
      </c>
      <c r="L24" t="s">
        <v>249</v>
      </c>
      <c r="M24" t="s">
        <v>188</v>
      </c>
      <c r="N24" s="5" t="s">
        <v>262</v>
      </c>
    </row>
    <row r="25" spans="1:14">
      <c r="A25" t="s">
        <v>263</v>
      </c>
      <c r="B25" t="s">
        <v>263</v>
      </c>
      <c r="C25" t="s">
        <v>263</v>
      </c>
      <c r="D25" t="s">
        <v>263</v>
      </c>
      <c r="E25" t="s">
        <v>183</v>
      </c>
      <c r="F25" t="s">
        <v>184</v>
      </c>
      <c r="H25" t="s">
        <v>264</v>
      </c>
      <c r="K25" t="s">
        <v>261</v>
      </c>
      <c r="L25" t="s">
        <v>249</v>
      </c>
      <c r="M25" t="s">
        <v>188</v>
      </c>
      <c r="N25" s="5" t="s">
        <v>262</v>
      </c>
    </row>
    <row r="26" spans="1:14">
      <c r="A26" t="s">
        <v>265</v>
      </c>
      <c r="B26" t="s">
        <v>265</v>
      </c>
      <c r="C26" t="s">
        <v>265</v>
      </c>
      <c r="D26" t="s">
        <v>265</v>
      </c>
      <c r="E26" t="s">
        <v>183</v>
      </c>
      <c r="F26" t="s">
        <v>184</v>
      </c>
      <c r="H26" t="s">
        <v>266</v>
      </c>
      <c r="K26" t="s">
        <v>267</v>
      </c>
      <c r="L26" t="s">
        <v>268</v>
      </c>
      <c r="M26" t="s">
        <v>188</v>
      </c>
      <c r="N26" s="5" t="s">
        <v>269</v>
      </c>
    </row>
    <row r="27" spans="1:14">
      <c r="A27" t="s">
        <v>270</v>
      </c>
      <c r="B27" t="s">
        <v>270</v>
      </c>
      <c r="C27" t="s">
        <v>270</v>
      </c>
      <c r="D27" t="s">
        <v>270</v>
      </c>
      <c r="E27" t="s">
        <v>183</v>
      </c>
      <c r="F27" t="s">
        <v>184</v>
      </c>
      <c r="H27" t="s">
        <v>271</v>
      </c>
      <c r="K27" t="s">
        <v>272</v>
      </c>
      <c r="L27" t="s">
        <v>273</v>
      </c>
      <c r="M27" t="s">
        <v>188</v>
      </c>
      <c r="N27" s="5" t="s">
        <v>274</v>
      </c>
    </row>
    <row r="28" spans="1:14">
      <c r="A28" t="s">
        <v>275</v>
      </c>
      <c r="B28" t="s">
        <v>275</v>
      </c>
      <c r="C28" t="s">
        <v>275</v>
      </c>
      <c r="D28" t="s">
        <v>275</v>
      </c>
      <c r="E28" t="s">
        <v>183</v>
      </c>
      <c r="F28" t="s">
        <v>184</v>
      </c>
      <c r="H28" t="s">
        <v>271</v>
      </c>
      <c r="K28" t="s">
        <v>272</v>
      </c>
      <c r="L28" t="s">
        <v>273</v>
      </c>
      <c r="M28" t="s">
        <v>188</v>
      </c>
      <c r="N28" s="5" t="s">
        <v>274</v>
      </c>
    </row>
    <row r="29" spans="1:14">
      <c r="A29" t="s">
        <v>276</v>
      </c>
      <c r="B29" t="s">
        <v>276</v>
      </c>
      <c r="C29" t="s">
        <v>276</v>
      </c>
      <c r="D29" t="s">
        <v>276</v>
      </c>
      <c r="E29" t="s">
        <v>183</v>
      </c>
      <c r="F29" t="s">
        <v>184</v>
      </c>
      <c r="H29" t="s">
        <v>277</v>
      </c>
      <c r="K29" t="s">
        <v>278</v>
      </c>
      <c r="L29" t="s">
        <v>273</v>
      </c>
      <c r="M29" t="s">
        <v>188</v>
      </c>
      <c r="N29" s="5" t="s">
        <v>279</v>
      </c>
    </row>
    <row r="30" spans="1:14">
      <c r="A30" t="s">
        <v>280</v>
      </c>
      <c r="B30" t="s">
        <v>280</v>
      </c>
      <c r="C30" t="s">
        <v>280</v>
      </c>
      <c r="D30" t="s">
        <v>280</v>
      </c>
      <c r="E30" t="s">
        <v>183</v>
      </c>
      <c r="F30" t="s">
        <v>184</v>
      </c>
      <c r="H30" t="s">
        <v>281</v>
      </c>
      <c r="K30" t="s">
        <v>282</v>
      </c>
      <c r="L30" t="s">
        <v>273</v>
      </c>
      <c r="M30" t="s">
        <v>188</v>
      </c>
      <c r="N30" s="5" t="s">
        <v>279</v>
      </c>
    </row>
    <row r="31" spans="1:14">
      <c r="A31" t="s">
        <v>283</v>
      </c>
      <c r="B31" t="s">
        <v>283</v>
      </c>
      <c r="C31" t="s">
        <v>283</v>
      </c>
      <c r="D31" t="s">
        <v>283</v>
      </c>
      <c r="E31" t="s">
        <v>183</v>
      </c>
      <c r="F31" t="s">
        <v>184</v>
      </c>
      <c r="H31" t="s">
        <v>284</v>
      </c>
      <c r="K31" t="s">
        <v>285</v>
      </c>
      <c r="L31" t="s">
        <v>273</v>
      </c>
      <c r="M31" t="s">
        <v>188</v>
      </c>
      <c r="N31" s="5" t="s">
        <v>286</v>
      </c>
    </row>
    <row r="32" spans="1:14">
      <c r="A32" t="s">
        <v>287</v>
      </c>
      <c r="B32" t="s">
        <v>287</v>
      </c>
      <c r="C32" t="s">
        <v>287</v>
      </c>
      <c r="D32" t="s">
        <v>287</v>
      </c>
      <c r="E32" t="s">
        <v>183</v>
      </c>
      <c r="F32" t="s">
        <v>184</v>
      </c>
      <c r="H32" t="s">
        <v>288</v>
      </c>
      <c r="K32" t="s">
        <v>289</v>
      </c>
      <c r="L32" t="s">
        <v>290</v>
      </c>
      <c r="M32" t="s">
        <v>188</v>
      </c>
      <c r="N32" s="5" t="s">
        <v>291</v>
      </c>
    </row>
    <row r="33" spans="1:14">
      <c r="A33" t="s">
        <v>292</v>
      </c>
      <c r="B33" t="s">
        <v>292</v>
      </c>
      <c r="C33" t="s">
        <v>292</v>
      </c>
      <c r="D33" t="s">
        <v>292</v>
      </c>
      <c r="E33" t="s">
        <v>183</v>
      </c>
      <c r="F33" t="s">
        <v>184</v>
      </c>
      <c r="H33" t="s">
        <v>293</v>
      </c>
      <c r="K33" t="s">
        <v>294</v>
      </c>
      <c r="L33" t="s">
        <v>290</v>
      </c>
      <c r="M33" t="s">
        <v>188</v>
      </c>
      <c r="N33" s="5" t="s">
        <v>295</v>
      </c>
    </row>
    <row r="34" spans="1:14">
      <c r="A34" t="s">
        <v>296</v>
      </c>
      <c r="B34" t="s">
        <v>296</v>
      </c>
      <c r="C34" t="s">
        <v>296</v>
      </c>
      <c r="D34" t="s">
        <v>296</v>
      </c>
      <c r="E34" t="s">
        <v>183</v>
      </c>
      <c r="F34" t="s">
        <v>184</v>
      </c>
      <c r="H34" t="s">
        <v>297</v>
      </c>
      <c r="K34" t="s">
        <v>294</v>
      </c>
      <c r="L34" t="s">
        <v>290</v>
      </c>
      <c r="M34" t="s">
        <v>188</v>
      </c>
      <c r="N34" s="5" t="s">
        <v>295</v>
      </c>
    </row>
    <row r="35" spans="1:14">
      <c r="A35" t="s">
        <v>298</v>
      </c>
      <c r="B35" t="s">
        <v>298</v>
      </c>
      <c r="C35" t="s">
        <v>298</v>
      </c>
      <c r="D35" t="s">
        <v>298</v>
      </c>
      <c r="E35" t="s">
        <v>183</v>
      </c>
      <c r="F35" t="s">
        <v>184</v>
      </c>
      <c r="H35" t="s">
        <v>299</v>
      </c>
      <c r="K35" t="s">
        <v>300</v>
      </c>
      <c r="L35" t="s">
        <v>290</v>
      </c>
      <c r="M35" t="s">
        <v>188</v>
      </c>
      <c r="N35" s="5" t="s">
        <v>301</v>
      </c>
    </row>
    <row r="36" spans="1:14">
      <c r="A36" t="s">
        <v>302</v>
      </c>
      <c r="B36" t="s">
        <v>302</v>
      </c>
      <c r="C36" t="s">
        <v>302</v>
      </c>
      <c r="D36" t="s">
        <v>302</v>
      </c>
      <c r="E36" t="s">
        <v>183</v>
      </c>
      <c r="F36" t="s">
        <v>184</v>
      </c>
      <c r="H36" t="s">
        <v>303</v>
      </c>
      <c r="K36" t="s">
        <v>304</v>
      </c>
      <c r="L36" t="s">
        <v>290</v>
      </c>
      <c r="M36" t="s">
        <v>188</v>
      </c>
      <c r="N36" s="5" t="s">
        <v>305</v>
      </c>
    </row>
    <row r="37" spans="1:14">
      <c r="A37" t="s">
        <v>306</v>
      </c>
      <c r="B37" t="s">
        <v>306</v>
      </c>
      <c r="C37" t="s">
        <v>306</v>
      </c>
      <c r="D37" t="s">
        <v>306</v>
      </c>
      <c r="E37" t="s">
        <v>183</v>
      </c>
      <c r="F37" t="s">
        <v>184</v>
      </c>
      <c r="H37" t="s">
        <v>307</v>
      </c>
      <c r="K37" t="s">
        <v>308</v>
      </c>
      <c r="L37" t="s">
        <v>290</v>
      </c>
      <c r="M37" t="s">
        <v>188</v>
      </c>
      <c r="N37" s="5" t="s">
        <v>309</v>
      </c>
    </row>
    <row r="38" spans="1:14">
      <c r="A38" t="s">
        <v>310</v>
      </c>
      <c r="B38" t="s">
        <v>310</v>
      </c>
      <c r="C38" t="s">
        <v>310</v>
      </c>
      <c r="D38" t="s">
        <v>310</v>
      </c>
      <c r="E38" t="s">
        <v>183</v>
      </c>
      <c r="F38" t="s">
        <v>184</v>
      </c>
      <c r="H38" t="s">
        <v>311</v>
      </c>
      <c r="K38" t="s">
        <v>308</v>
      </c>
      <c r="L38" t="s">
        <v>290</v>
      </c>
      <c r="M38" t="s">
        <v>188</v>
      </c>
      <c r="N38" s="5" t="s">
        <v>309</v>
      </c>
    </row>
    <row r="39" spans="1:14">
      <c r="A39" t="s">
        <v>312</v>
      </c>
      <c r="B39" t="s">
        <v>312</v>
      </c>
      <c r="C39" t="s">
        <v>312</v>
      </c>
      <c r="D39" t="s">
        <v>312</v>
      </c>
      <c r="E39" t="s">
        <v>183</v>
      </c>
      <c r="F39" t="s">
        <v>184</v>
      </c>
      <c r="H39" t="s">
        <v>313</v>
      </c>
      <c r="K39" t="s">
        <v>314</v>
      </c>
      <c r="L39" t="s">
        <v>290</v>
      </c>
      <c r="M39" t="s">
        <v>188</v>
      </c>
      <c r="N39" s="5" t="s">
        <v>315</v>
      </c>
    </row>
    <row r="40" spans="1:14">
      <c r="A40" t="s">
        <v>316</v>
      </c>
      <c r="B40" t="s">
        <v>316</v>
      </c>
      <c r="C40" t="s">
        <v>316</v>
      </c>
      <c r="D40" t="s">
        <v>316</v>
      </c>
      <c r="E40" t="s">
        <v>183</v>
      </c>
      <c r="F40" t="s">
        <v>184</v>
      </c>
      <c r="H40" t="s">
        <v>317</v>
      </c>
      <c r="K40" t="s">
        <v>318</v>
      </c>
      <c r="L40" t="s">
        <v>319</v>
      </c>
      <c r="M40" t="s">
        <v>188</v>
      </c>
      <c r="N40" s="5" t="s">
        <v>320</v>
      </c>
    </row>
    <row r="41" spans="1:14">
      <c r="A41" t="s">
        <v>321</v>
      </c>
      <c r="B41" t="s">
        <v>321</v>
      </c>
      <c r="C41" t="s">
        <v>321</v>
      </c>
      <c r="D41" t="s">
        <v>321</v>
      </c>
      <c r="E41" t="s">
        <v>183</v>
      </c>
      <c r="F41" t="s">
        <v>184</v>
      </c>
      <c r="H41" t="s">
        <v>322</v>
      </c>
      <c r="K41" t="s">
        <v>323</v>
      </c>
      <c r="L41" t="s">
        <v>319</v>
      </c>
      <c r="M41" t="s">
        <v>188</v>
      </c>
      <c r="N41" s="5" t="s">
        <v>324</v>
      </c>
    </row>
    <row r="42" spans="1:14">
      <c r="A42" t="s">
        <v>325</v>
      </c>
      <c r="B42" t="s">
        <v>325</v>
      </c>
      <c r="C42" t="s">
        <v>325</v>
      </c>
      <c r="D42" t="s">
        <v>325</v>
      </c>
      <c r="E42" t="s">
        <v>183</v>
      </c>
      <c r="F42" t="s">
        <v>184</v>
      </c>
      <c r="H42" t="s">
        <v>326</v>
      </c>
      <c r="K42" t="s">
        <v>327</v>
      </c>
      <c r="L42" t="s">
        <v>319</v>
      </c>
      <c r="M42" t="s">
        <v>188</v>
      </c>
      <c r="N42" s="5" t="s">
        <v>328</v>
      </c>
    </row>
    <row r="43" spans="1:14">
      <c r="A43" t="s">
        <v>329</v>
      </c>
      <c r="B43" t="s">
        <v>329</v>
      </c>
      <c r="C43" t="s">
        <v>329</v>
      </c>
      <c r="D43" t="s">
        <v>329</v>
      </c>
      <c r="E43" t="s">
        <v>183</v>
      </c>
      <c r="F43" t="s">
        <v>184</v>
      </c>
      <c r="H43" t="s">
        <v>330</v>
      </c>
      <c r="K43" t="s">
        <v>331</v>
      </c>
      <c r="L43" t="s">
        <v>332</v>
      </c>
      <c r="M43" t="s">
        <v>188</v>
      </c>
      <c r="N43" s="5" t="s">
        <v>333</v>
      </c>
    </row>
    <row r="44" spans="1:14">
      <c r="A44" t="s">
        <v>334</v>
      </c>
      <c r="B44" t="s">
        <v>334</v>
      </c>
      <c r="C44" t="s">
        <v>334</v>
      </c>
      <c r="D44" t="s">
        <v>334</v>
      </c>
      <c r="E44" t="s">
        <v>183</v>
      </c>
      <c r="F44" t="s">
        <v>184</v>
      </c>
      <c r="H44" t="s">
        <v>335</v>
      </c>
      <c r="K44" t="s">
        <v>336</v>
      </c>
      <c r="L44" t="s">
        <v>332</v>
      </c>
      <c r="M44" t="s">
        <v>188</v>
      </c>
      <c r="N44" s="5" t="s">
        <v>337</v>
      </c>
    </row>
    <row r="45" spans="1:14">
      <c r="A45" t="s">
        <v>338</v>
      </c>
      <c r="B45" t="s">
        <v>338</v>
      </c>
      <c r="C45" t="s">
        <v>338</v>
      </c>
      <c r="D45" t="s">
        <v>338</v>
      </c>
      <c r="E45" t="s">
        <v>183</v>
      </c>
      <c r="F45" t="s">
        <v>184</v>
      </c>
      <c r="H45" t="s">
        <v>339</v>
      </c>
      <c r="K45" t="s">
        <v>340</v>
      </c>
      <c r="L45" t="s">
        <v>332</v>
      </c>
      <c r="M45" t="s">
        <v>188</v>
      </c>
      <c r="N45" s="5" t="s">
        <v>341</v>
      </c>
    </row>
    <row r="46" spans="1:14">
      <c r="A46" t="s">
        <v>342</v>
      </c>
      <c r="B46" t="s">
        <v>342</v>
      </c>
      <c r="C46" t="s">
        <v>342</v>
      </c>
      <c r="D46" t="s">
        <v>342</v>
      </c>
      <c r="E46" t="s">
        <v>183</v>
      </c>
      <c r="F46" t="s">
        <v>184</v>
      </c>
      <c r="H46" t="s">
        <v>343</v>
      </c>
      <c r="K46" t="s">
        <v>340</v>
      </c>
      <c r="L46" t="s">
        <v>332</v>
      </c>
      <c r="M46" t="s">
        <v>188</v>
      </c>
      <c r="N46" s="5" t="s">
        <v>344</v>
      </c>
    </row>
    <row r="47" spans="1:14">
      <c r="A47" t="s">
        <v>345</v>
      </c>
      <c r="B47" t="s">
        <v>345</v>
      </c>
      <c r="C47" t="s">
        <v>345</v>
      </c>
      <c r="D47" t="s">
        <v>345</v>
      </c>
      <c r="E47" t="s">
        <v>183</v>
      </c>
      <c r="F47" t="s">
        <v>184</v>
      </c>
      <c r="H47" t="s">
        <v>346</v>
      </c>
      <c r="K47" t="s">
        <v>347</v>
      </c>
      <c r="L47" t="s">
        <v>332</v>
      </c>
      <c r="M47" t="s">
        <v>188</v>
      </c>
      <c r="N47" s="5" t="s">
        <v>348</v>
      </c>
    </row>
    <row r="48" spans="1:14">
      <c r="A48" t="s">
        <v>349</v>
      </c>
      <c r="B48" t="s">
        <v>349</v>
      </c>
      <c r="C48" t="s">
        <v>349</v>
      </c>
      <c r="D48" t="s">
        <v>349</v>
      </c>
      <c r="E48" t="s">
        <v>183</v>
      </c>
      <c r="F48" t="s">
        <v>184</v>
      </c>
      <c r="H48" t="s">
        <v>350</v>
      </c>
      <c r="K48" t="s">
        <v>351</v>
      </c>
      <c r="L48" t="s">
        <v>332</v>
      </c>
      <c r="M48" t="s">
        <v>188</v>
      </c>
      <c r="N48" s="5" t="s">
        <v>352</v>
      </c>
    </row>
    <row r="49" spans="1:14">
      <c r="A49" t="s">
        <v>353</v>
      </c>
      <c r="B49" t="s">
        <v>353</v>
      </c>
      <c r="C49" t="s">
        <v>353</v>
      </c>
      <c r="D49" t="s">
        <v>353</v>
      </c>
      <c r="E49" t="s">
        <v>183</v>
      </c>
      <c r="F49" t="s">
        <v>184</v>
      </c>
      <c r="H49" t="s">
        <v>354</v>
      </c>
      <c r="K49" t="s">
        <v>340</v>
      </c>
      <c r="L49" t="s">
        <v>332</v>
      </c>
      <c r="M49" t="s">
        <v>188</v>
      </c>
      <c r="N49" s="5" t="s">
        <v>355</v>
      </c>
    </row>
    <row r="50" spans="1:14">
      <c r="A50" t="s">
        <v>356</v>
      </c>
      <c r="B50" t="s">
        <v>356</v>
      </c>
      <c r="C50" t="s">
        <v>356</v>
      </c>
      <c r="D50" t="s">
        <v>356</v>
      </c>
      <c r="E50" t="s">
        <v>183</v>
      </c>
      <c r="F50" t="s">
        <v>184</v>
      </c>
      <c r="H50" t="s">
        <v>357</v>
      </c>
      <c r="K50" t="s">
        <v>358</v>
      </c>
      <c r="L50" t="s">
        <v>332</v>
      </c>
      <c r="M50" t="s">
        <v>188</v>
      </c>
      <c r="N50" s="5" t="s">
        <v>359</v>
      </c>
    </row>
    <row r="51" spans="1:14">
      <c r="A51" t="s">
        <v>360</v>
      </c>
      <c r="B51" t="s">
        <v>360</v>
      </c>
      <c r="C51" t="s">
        <v>360</v>
      </c>
      <c r="D51" t="s">
        <v>360</v>
      </c>
      <c r="E51" t="s">
        <v>183</v>
      </c>
      <c r="F51" t="s">
        <v>184</v>
      </c>
      <c r="H51" t="s">
        <v>361</v>
      </c>
      <c r="K51" t="s">
        <v>358</v>
      </c>
      <c r="L51" t="s">
        <v>332</v>
      </c>
      <c r="M51" t="s">
        <v>188</v>
      </c>
      <c r="N51" s="5" t="s">
        <v>359</v>
      </c>
    </row>
    <row r="52" spans="1:14">
      <c r="A52" t="s">
        <v>362</v>
      </c>
      <c r="B52" t="s">
        <v>362</v>
      </c>
      <c r="C52" t="s">
        <v>362</v>
      </c>
      <c r="D52" t="s">
        <v>362</v>
      </c>
      <c r="E52" t="s">
        <v>183</v>
      </c>
      <c r="F52" t="s">
        <v>184</v>
      </c>
      <c r="H52" t="s">
        <v>363</v>
      </c>
      <c r="K52" t="s">
        <v>364</v>
      </c>
      <c r="L52" t="s">
        <v>332</v>
      </c>
      <c r="M52" t="s">
        <v>188</v>
      </c>
      <c r="N52" s="5" t="s">
        <v>365</v>
      </c>
    </row>
    <row r="53" spans="1:14">
      <c r="A53" t="s">
        <v>366</v>
      </c>
      <c r="B53" t="s">
        <v>366</v>
      </c>
      <c r="C53" t="s">
        <v>366</v>
      </c>
      <c r="D53" t="s">
        <v>366</v>
      </c>
      <c r="E53" t="s">
        <v>183</v>
      </c>
      <c r="F53" t="s">
        <v>184</v>
      </c>
      <c r="H53" t="s">
        <v>367</v>
      </c>
      <c r="K53" t="s">
        <v>364</v>
      </c>
      <c r="L53" t="s">
        <v>332</v>
      </c>
      <c r="M53" t="s">
        <v>188</v>
      </c>
      <c r="N53" s="5" t="s">
        <v>365</v>
      </c>
    </row>
    <row r="54" spans="1:14">
      <c r="A54" t="s">
        <v>368</v>
      </c>
      <c r="B54" t="s">
        <v>368</v>
      </c>
      <c r="C54" t="s">
        <v>368</v>
      </c>
      <c r="D54" t="s">
        <v>368</v>
      </c>
      <c r="E54" t="s">
        <v>183</v>
      </c>
      <c r="F54" t="s">
        <v>184</v>
      </c>
      <c r="H54" t="s">
        <v>369</v>
      </c>
      <c r="K54" t="s">
        <v>370</v>
      </c>
      <c r="L54" t="s">
        <v>332</v>
      </c>
      <c r="M54" t="s">
        <v>188</v>
      </c>
      <c r="N54" s="5" t="s">
        <v>371</v>
      </c>
    </row>
    <row r="55" spans="1:14">
      <c r="A55" t="s">
        <v>372</v>
      </c>
      <c r="B55" t="s">
        <v>372</v>
      </c>
      <c r="C55" t="s">
        <v>372</v>
      </c>
      <c r="D55" t="s">
        <v>372</v>
      </c>
      <c r="E55" t="s">
        <v>183</v>
      </c>
      <c r="F55" t="s">
        <v>184</v>
      </c>
      <c r="H55" t="s">
        <v>373</v>
      </c>
      <c r="K55" t="s">
        <v>374</v>
      </c>
      <c r="L55" t="s">
        <v>332</v>
      </c>
      <c r="M55" t="s">
        <v>188</v>
      </c>
      <c r="N55" s="5" t="s">
        <v>375</v>
      </c>
    </row>
    <row r="56" spans="1:14">
      <c r="A56" t="s">
        <v>376</v>
      </c>
      <c r="B56" t="s">
        <v>376</v>
      </c>
      <c r="C56" t="s">
        <v>376</v>
      </c>
      <c r="D56" t="s">
        <v>376</v>
      </c>
      <c r="E56" t="s">
        <v>183</v>
      </c>
      <c r="F56" t="s">
        <v>184</v>
      </c>
      <c r="H56" t="s">
        <v>377</v>
      </c>
      <c r="K56" t="s">
        <v>378</v>
      </c>
      <c r="L56" t="s">
        <v>332</v>
      </c>
      <c r="M56" t="s">
        <v>188</v>
      </c>
      <c r="N56" s="5" t="s">
        <v>379</v>
      </c>
    </row>
    <row r="57" spans="1:14">
      <c r="A57" t="s">
        <v>380</v>
      </c>
      <c r="B57" t="s">
        <v>380</v>
      </c>
      <c r="C57" t="s">
        <v>380</v>
      </c>
      <c r="D57" t="s">
        <v>380</v>
      </c>
      <c r="E57" t="s">
        <v>183</v>
      </c>
      <c r="F57" t="s">
        <v>184</v>
      </c>
      <c r="H57" t="s">
        <v>381</v>
      </c>
      <c r="K57" t="s">
        <v>382</v>
      </c>
      <c r="L57" t="s">
        <v>332</v>
      </c>
      <c r="M57" t="s">
        <v>188</v>
      </c>
      <c r="N57" s="5" t="s">
        <v>383</v>
      </c>
    </row>
    <row r="58" spans="1:14">
      <c r="A58" t="s">
        <v>384</v>
      </c>
      <c r="B58" t="s">
        <v>384</v>
      </c>
      <c r="C58" t="s">
        <v>384</v>
      </c>
      <c r="D58" t="s">
        <v>384</v>
      </c>
      <c r="E58" t="s">
        <v>183</v>
      </c>
      <c r="F58" t="s">
        <v>184</v>
      </c>
      <c r="H58" t="s">
        <v>385</v>
      </c>
      <c r="K58" t="s">
        <v>386</v>
      </c>
      <c r="L58" t="s">
        <v>332</v>
      </c>
      <c r="M58" t="s">
        <v>188</v>
      </c>
      <c r="N58" s="5" t="s">
        <v>387</v>
      </c>
    </row>
    <row r="59" spans="1:14">
      <c r="A59" t="s">
        <v>388</v>
      </c>
      <c r="B59" t="s">
        <v>388</v>
      </c>
      <c r="C59" t="s">
        <v>388</v>
      </c>
      <c r="D59" t="s">
        <v>388</v>
      </c>
      <c r="E59" t="s">
        <v>183</v>
      </c>
      <c r="F59" t="s">
        <v>184</v>
      </c>
      <c r="H59" t="s">
        <v>389</v>
      </c>
      <c r="K59" t="s">
        <v>390</v>
      </c>
      <c r="L59" t="s">
        <v>332</v>
      </c>
      <c r="M59" t="s">
        <v>188</v>
      </c>
      <c r="N59" s="5" t="s">
        <v>387</v>
      </c>
    </row>
    <row r="60" spans="1:14">
      <c r="A60" t="s">
        <v>391</v>
      </c>
      <c r="B60" t="s">
        <v>391</v>
      </c>
      <c r="C60" t="s">
        <v>391</v>
      </c>
      <c r="D60" t="s">
        <v>391</v>
      </c>
      <c r="E60" t="s">
        <v>183</v>
      </c>
      <c r="F60" t="s">
        <v>184</v>
      </c>
      <c r="H60" t="s">
        <v>392</v>
      </c>
      <c r="K60" t="s">
        <v>393</v>
      </c>
      <c r="L60" t="s">
        <v>332</v>
      </c>
      <c r="M60" t="s">
        <v>188</v>
      </c>
      <c r="N60" s="5" t="s">
        <v>394</v>
      </c>
    </row>
    <row r="61" spans="1:14">
      <c r="A61" t="s">
        <v>395</v>
      </c>
      <c r="B61" t="s">
        <v>395</v>
      </c>
      <c r="C61" t="s">
        <v>395</v>
      </c>
      <c r="D61" t="s">
        <v>395</v>
      </c>
      <c r="E61" t="s">
        <v>183</v>
      </c>
      <c r="F61" t="s">
        <v>184</v>
      </c>
      <c r="H61" t="s">
        <v>396</v>
      </c>
      <c r="K61" t="s">
        <v>393</v>
      </c>
      <c r="L61" t="s">
        <v>332</v>
      </c>
      <c r="M61" t="s">
        <v>188</v>
      </c>
      <c r="N61" s="5" t="s">
        <v>394</v>
      </c>
    </row>
    <row r="62" spans="1:14">
      <c r="A62" t="s">
        <v>397</v>
      </c>
      <c r="B62" t="s">
        <v>397</v>
      </c>
      <c r="C62" t="s">
        <v>397</v>
      </c>
      <c r="D62" t="s">
        <v>397</v>
      </c>
      <c r="E62" t="s">
        <v>183</v>
      </c>
      <c r="F62" t="s">
        <v>184</v>
      </c>
      <c r="H62" t="s">
        <v>398</v>
      </c>
      <c r="K62" t="s">
        <v>399</v>
      </c>
      <c r="L62" t="s">
        <v>332</v>
      </c>
      <c r="M62" t="s">
        <v>188</v>
      </c>
      <c r="N62" s="5" t="s">
        <v>400</v>
      </c>
    </row>
    <row r="63" spans="1:14">
      <c r="A63" t="s">
        <v>401</v>
      </c>
      <c r="B63" t="s">
        <v>401</v>
      </c>
      <c r="C63" t="s">
        <v>401</v>
      </c>
      <c r="D63" t="s">
        <v>401</v>
      </c>
      <c r="E63" t="s">
        <v>183</v>
      </c>
      <c r="F63" t="s">
        <v>184</v>
      </c>
      <c r="H63" t="s">
        <v>402</v>
      </c>
      <c r="K63" t="s">
        <v>403</v>
      </c>
      <c r="L63" t="s">
        <v>332</v>
      </c>
      <c r="M63" t="s">
        <v>188</v>
      </c>
      <c r="N63" s="5" t="s">
        <v>404</v>
      </c>
    </row>
    <row r="64" spans="1:14">
      <c r="A64" t="s">
        <v>405</v>
      </c>
      <c r="B64" t="s">
        <v>405</v>
      </c>
      <c r="C64" t="s">
        <v>405</v>
      </c>
      <c r="D64" t="s">
        <v>405</v>
      </c>
      <c r="E64" t="s">
        <v>183</v>
      </c>
      <c r="F64" t="s">
        <v>184</v>
      </c>
      <c r="H64" t="s">
        <v>406</v>
      </c>
      <c r="K64" t="s">
        <v>403</v>
      </c>
      <c r="L64" t="s">
        <v>332</v>
      </c>
      <c r="M64" t="s">
        <v>188</v>
      </c>
      <c r="N64" s="5" t="s">
        <v>404</v>
      </c>
    </row>
    <row r="65" spans="1:14">
      <c r="A65" t="s">
        <v>407</v>
      </c>
      <c r="B65" t="s">
        <v>407</v>
      </c>
      <c r="C65" t="s">
        <v>407</v>
      </c>
      <c r="D65" t="s">
        <v>407</v>
      </c>
      <c r="E65" t="s">
        <v>183</v>
      </c>
      <c r="F65" t="s">
        <v>184</v>
      </c>
      <c r="H65" t="s">
        <v>408</v>
      </c>
      <c r="K65" t="s">
        <v>403</v>
      </c>
      <c r="L65" t="s">
        <v>332</v>
      </c>
      <c r="M65" t="s">
        <v>188</v>
      </c>
      <c r="N65" s="5" t="s">
        <v>404</v>
      </c>
    </row>
    <row r="66" spans="1:14">
      <c r="A66" t="s">
        <v>409</v>
      </c>
      <c r="B66" t="s">
        <v>409</v>
      </c>
      <c r="C66" t="s">
        <v>409</v>
      </c>
      <c r="D66" t="s">
        <v>409</v>
      </c>
      <c r="E66" t="s">
        <v>183</v>
      </c>
      <c r="F66" t="s">
        <v>184</v>
      </c>
      <c r="H66" t="s">
        <v>410</v>
      </c>
      <c r="K66" t="s">
        <v>411</v>
      </c>
      <c r="L66" t="s">
        <v>332</v>
      </c>
      <c r="M66" t="s">
        <v>188</v>
      </c>
      <c r="N66" s="5" t="s">
        <v>404</v>
      </c>
    </row>
    <row r="67" spans="1:14">
      <c r="A67" t="s">
        <v>412</v>
      </c>
      <c r="B67" t="s">
        <v>412</v>
      </c>
      <c r="C67" t="s">
        <v>412</v>
      </c>
      <c r="D67" t="s">
        <v>412</v>
      </c>
      <c r="E67" t="s">
        <v>183</v>
      </c>
      <c r="F67" t="s">
        <v>184</v>
      </c>
      <c r="H67" t="s">
        <v>413</v>
      </c>
      <c r="K67" t="s">
        <v>403</v>
      </c>
      <c r="L67" t="s">
        <v>332</v>
      </c>
      <c r="M67" t="s">
        <v>188</v>
      </c>
      <c r="N67" s="5" t="s">
        <v>414</v>
      </c>
    </row>
    <row r="68" spans="1:14">
      <c r="A68" t="s">
        <v>415</v>
      </c>
      <c r="B68" t="s">
        <v>415</v>
      </c>
      <c r="C68" t="s">
        <v>415</v>
      </c>
      <c r="D68" t="s">
        <v>415</v>
      </c>
      <c r="E68" t="s">
        <v>183</v>
      </c>
      <c r="F68" t="s">
        <v>184</v>
      </c>
      <c r="H68" t="s">
        <v>416</v>
      </c>
      <c r="K68" t="s">
        <v>417</v>
      </c>
      <c r="L68" t="s">
        <v>332</v>
      </c>
      <c r="M68" t="s">
        <v>188</v>
      </c>
      <c r="N68" s="5" t="s">
        <v>418</v>
      </c>
    </row>
    <row r="69" spans="1:14">
      <c r="A69" t="s">
        <v>419</v>
      </c>
      <c r="B69" t="s">
        <v>419</v>
      </c>
      <c r="C69" t="s">
        <v>419</v>
      </c>
      <c r="D69" t="s">
        <v>419</v>
      </c>
      <c r="E69" t="s">
        <v>183</v>
      </c>
      <c r="F69" t="s">
        <v>184</v>
      </c>
      <c r="H69" t="s">
        <v>420</v>
      </c>
      <c r="K69" t="s">
        <v>417</v>
      </c>
      <c r="L69" t="s">
        <v>332</v>
      </c>
      <c r="M69" t="s">
        <v>188</v>
      </c>
      <c r="N69" s="5" t="s">
        <v>418</v>
      </c>
    </row>
    <row r="70" spans="1:14">
      <c r="A70" t="s">
        <v>421</v>
      </c>
      <c r="B70" t="s">
        <v>421</v>
      </c>
      <c r="C70" t="s">
        <v>421</v>
      </c>
      <c r="D70" t="s">
        <v>421</v>
      </c>
      <c r="E70" t="s">
        <v>183</v>
      </c>
      <c r="F70" t="s">
        <v>184</v>
      </c>
      <c r="H70" t="s">
        <v>422</v>
      </c>
      <c r="K70" t="s">
        <v>417</v>
      </c>
      <c r="L70" t="s">
        <v>332</v>
      </c>
      <c r="M70" t="s">
        <v>188</v>
      </c>
      <c r="N70" s="5" t="s">
        <v>418</v>
      </c>
    </row>
    <row r="71" spans="1:14">
      <c r="A71" t="s">
        <v>423</v>
      </c>
      <c r="B71" t="s">
        <v>423</v>
      </c>
      <c r="C71" t="s">
        <v>423</v>
      </c>
      <c r="D71" t="s">
        <v>423</v>
      </c>
      <c r="E71" t="s">
        <v>183</v>
      </c>
      <c r="F71" t="s">
        <v>184</v>
      </c>
      <c r="H71" t="s">
        <v>424</v>
      </c>
      <c r="K71" t="s">
        <v>425</v>
      </c>
      <c r="L71" t="s">
        <v>332</v>
      </c>
      <c r="M71" t="s">
        <v>188</v>
      </c>
      <c r="N71" s="5" t="s">
        <v>426</v>
      </c>
    </row>
    <row r="72" spans="1:14">
      <c r="A72" t="s">
        <v>427</v>
      </c>
      <c r="B72" t="s">
        <v>427</v>
      </c>
      <c r="C72" t="s">
        <v>427</v>
      </c>
      <c r="D72" t="s">
        <v>427</v>
      </c>
      <c r="E72" t="s">
        <v>183</v>
      </c>
      <c r="F72" t="s">
        <v>184</v>
      </c>
      <c r="H72" t="s">
        <v>428</v>
      </c>
      <c r="K72" t="s">
        <v>425</v>
      </c>
      <c r="L72" t="s">
        <v>332</v>
      </c>
      <c r="M72" t="s">
        <v>188</v>
      </c>
      <c r="N72" s="5" t="s">
        <v>426</v>
      </c>
    </row>
    <row r="73" spans="1:14">
      <c r="A73" t="s">
        <v>429</v>
      </c>
      <c r="B73" t="s">
        <v>429</v>
      </c>
      <c r="C73" t="s">
        <v>429</v>
      </c>
      <c r="D73" t="s">
        <v>429</v>
      </c>
      <c r="E73" t="s">
        <v>183</v>
      </c>
      <c r="F73" t="s">
        <v>184</v>
      </c>
      <c r="H73" t="s">
        <v>430</v>
      </c>
      <c r="K73" t="s">
        <v>425</v>
      </c>
      <c r="L73" t="s">
        <v>332</v>
      </c>
      <c r="M73" t="s">
        <v>188</v>
      </c>
      <c r="N73" s="5" t="s">
        <v>426</v>
      </c>
    </row>
    <row r="74" spans="1:14">
      <c r="A74" t="s">
        <v>431</v>
      </c>
      <c r="B74" t="s">
        <v>431</v>
      </c>
      <c r="C74" t="s">
        <v>431</v>
      </c>
      <c r="D74" t="s">
        <v>431</v>
      </c>
      <c r="E74" t="s">
        <v>183</v>
      </c>
      <c r="F74" t="s">
        <v>184</v>
      </c>
      <c r="H74" t="s">
        <v>432</v>
      </c>
      <c r="K74" t="s">
        <v>425</v>
      </c>
      <c r="L74" t="s">
        <v>332</v>
      </c>
      <c r="M74" t="s">
        <v>188</v>
      </c>
      <c r="N74" s="5" t="s">
        <v>426</v>
      </c>
    </row>
    <row r="75" spans="1:14">
      <c r="A75" t="s">
        <v>433</v>
      </c>
      <c r="B75" t="s">
        <v>433</v>
      </c>
      <c r="C75" t="s">
        <v>433</v>
      </c>
      <c r="D75" t="s">
        <v>433</v>
      </c>
      <c r="E75" t="s">
        <v>183</v>
      </c>
      <c r="F75" t="s">
        <v>184</v>
      </c>
      <c r="H75" t="s">
        <v>434</v>
      </c>
      <c r="K75" t="s">
        <v>435</v>
      </c>
      <c r="L75" t="s">
        <v>332</v>
      </c>
      <c r="M75" t="s">
        <v>188</v>
      </c>
      <c r="N75" s="5" t="s">
        <v>436</v>
      </c>
    </row>
    <row r="76" spans="1:14">
      <c r="A76" t="s">
        <v>437</v>
      </c>
      <c r="B76" t="s">
        <v>437</v>
      </c>
      <c r="C76" t="s">
        <v>437</v>
      </c>
      <c r="D76" t="s">
        <v>437</v>
      </c>
      <c r="E76" t="s">
        <v>183</v>
      </c>
      <c r="F76" t="s">
        <v>184</v>
      </c>
      <c r="H76" t="s">
        <v>438</v>
      </c>
      <c r="K76" t="s">
        <v>439</v>
      </c>
      <c r="L76" t="s">
        <v>332</v>
      </c>
      <c r="M76" t="s">
        <v>188</v>
      </c>
      <c r="N76" s="5" t="s">
        <v>436</v>
      </c>
    </row>
    <row r="77" spans="1:14">
      <c r="A77" t="s">
        <v>440</v>
      </c>
      <c r="B77" t="s">
        <v>440</v>
      </c>
      <c r="C77" t="s">
        <v>440</v>
      </c>
      <c r="D77" t="s">
        <v>440</v>
      </c>
      <c r="E77" t="s">
        <v>183</v>
      </c>
      <c r="F77" t="s">
        <v>184</v>
      </c>
      <c r="H77" t="s">
        <v>441</v>
      </c>
      <c r="K77" t="s">
        <v>442</v>
      </c>
      <c r="L77" t="s">
        <v>332</v>
      </c>
      <c r="M77" t="s">
        <v>188</v>
      </c>
      <c r="N77" s="5" t="s">
        <v>443</v>
      </c>
    </row>
    <row r="78" spans="1:14">
      <c r="A78" t="s">
        <v>444</v>
      </c>
      <c r="B78" t="s">
        <v>444</v>
      </c>
      <c r="C78" t="s">
        <v>444</v>
      </c>
      <c r="D78" t="s">
        <v>444</v>
      </c>
      <c r="E78" t="s">
        <v>183</v>
      </c>
      <c r="F78" t="s">
        <v>184</v>
      </c>
      <c r="H78" t="s">
        <v>445</v>
      </c>
      <c r="K78" t="s">
        <v>446</v>
      </c>
      <c r="L78" t="s">
        <v>332</v>
      </c>
      <c r="M78" t="s">
        <v>188</v>
      </c>
      <c r="N78" s="5" t="s">
        <v>447</v>
      </c>
    </row>
    <row r="79" spans="1:14">
      <c r="A79" t="s">
        <v>448</v>
      </c>
      <c r="B79" t="s">
        <v>448</v>
      </c>
      <c r="C79" t="s">
        <v>448</v>
      </c>
      <c r="D79" t="s">
        <v>448</v>
      </c>
      <c r="E79" t="s">
        <v>183</v>
      </c>
      <c r="F79" t="s">
        <v>184</v>
      </c>
      <c r="H79" t="s">
        <v>449</v>
      </c>
      <c r="K79" t="s">
        <v>450</v>
      </c>
      <c r="L79" t="s">
        <v>332</v>
      </c>
      <c r="M79" t="s">
        <v>188</v>
      </c>
      <c r="N79" s="5" t="s">
        <v>447</v>
      </c>
    </row>
    <row r="80" spans="1:14">
      <c r="A80" t="s">
        <v>451</v>
      </c>
      <c r="B80" t="s">
        <v>451</v>
      </c>
      <c r="C80" t="s">
        <v>451</v>
      </c>
      <c r="D80" t="s">
        <v>451</v>
      </c>
      <c r="E80" t="s">
        <v>183</v>
      </c>
      <c r="F80" t="s">
        <v>184</v>
      </c>
      <c r="H80" t="s">
        <v>452</v>
      </c>
      <c r="K80" t="s">
        <v>453</v>
      </c>
      <c r="L80" t="s">
        <v>332</v>
      </c>
      <c r="M80" t="s">
        <v>188</v>
      </c>
      <c r="N80" s="5" t="s">
        <v>454</v>
      </c>
    </row>
    <row r="81" spans="1:14">
      <c r="A81" t="s">
        <v>455</v>
      </c>
      <c r="B81" t="s">
        <v>455</v>
      </c>
      <c r="C81" t="s">
        <v>455</v>
      </c>
      <c r="D81" t="s">
        <v>455</v>
      </c>
      <c r="E81" t="s">
        <v>183</v>
      </c>
      <c r="F81" t="s">
        <v>184</v>
      </c>
      <c r="H81" t="s">
        <v>456</v>
      </c>
      <c r="K81" t="s">
        <v>453</v>
      </c>
      <c r="L81" t="s">
        <v>332</v>
      </c>
      <c r="M81" t="s">
        <v>188</v>
      </c>
      <c r="N81" s="5" t="s">
        <v>454</v>
      </c>
    </row>
    <row r="82" spans="1:14">
      <c r="A82" t="s">
        <v>457</v>
      </c>
      <c r="B82" t="s">
        <v>457</v>
      </c>
      <c r="C82" t="s">
        <v>457</v>
      </c>
      <c r="D82" t="s">
        <v>457</v>
      </c>
      <c r="E82" t="s">
        <v>183</v>
      </c>
      <c r="F82" t="s">
        <v>184</v>
      </c>
      <c r="H82" t="s">
        <v>458</v>
      </c>
      <c r="K82" t="s">
        <v>459</v>
      </c>
      <c r="L82" t="s">
        <v>332</v>
      </c>
      <c r="M82" t="s">
        <v>188</v>
      </c>
      <c r="N82" s="5" t="s">
        <v>460</v>
      </c>
    </row>
    <row r="83" spans="1:14">
      <c r="A83" t="s">
        <v>461</v>
      </c>
      <c r="B83" t="s">
        <v>461</v>
      </c>
      <c r="C83" t="s">
        <v>461</v>
      </c>
      <c r="D83" t="s">
        <v>461</v>
      </c>
      <c r="E83" t="s">
        <v>183</v>
      </c>
      <c r="F83" t="s">
        <v>184</v>
      </c>
      <c r="H83" t="s">
        <v>462</v>
      </c>
      <c r="K83" t="s">
        <v>463</v>
      </c>
      <c r="L83" t="s">
        <v>332</v>
      </c>
      <c r="M83" t="s">
        <v>188</v>
      </c>
      <c r="N83" s="5" t="s">
        <v>464</v>
      </c>
    </row>
    <row r="84" spans="1:14">
      <c r="A84" t="s">
        <v>465</v>
      </c>
      <c r="B84" t="s">
        <v>465</v>
      </c>
      <c r="C84" t="s">
        <v>465</v>
      </c>
      <c r="D84" t="s">
        <v>465</v>
      </c>
      <c r="E84" t="s">
        <v>183</v>
      </c>
      <c r="F84" t="s">
        <v>184</v>
      </c>
      <c r="H84" t="s">
        <v>466</v>
      </c>
      <c r="K84" t="s">
        <v>467</v>
      </c>
      <c r="L84" t="s">
        <v>468</v>
      </c>
      <c r="M84" t="s">
        <v>188</v>
      </c>
      <c r="N84" s="5" t="s">
        <v>469</v>
      </c>
    </row>
    <row r="85" spans="1:14">
      <c r="A85" t="s">
        <v>470</v>
      </c>
      <c r="B85" t="s">
        <v>470</v>
      </c>
      <c r="C85" t="s">
        <v>470</v>
      </c>
      <c r="D85" t="s">
        <v>470</v>
      </c>
      <c r="E85" t="s">
        <v>183</v>
      </c>
      <c r="F85" t="s">
        <v>184</v>
      </c>
      <c r="H85" t="s">
        <v>471</v>
      </c>
      <c r="K85" t="s">
        <v>472</v>
      </c>
      <c r="L85" t="s">
        <v>468</v>
      </c>
      <c r="M85" t="s">
        <v>188</v>
      </c>
      <c r="N85" s="5" t="s">
        <v>473</v>
      </c>
    </row>
    <row r="86" spans="1:14">
      <c r="A86" t="s">
        <v>474</v>
      </c>
      <c r="B86" t="s">
        <v>474</v>
      </c>
      <c r="C86" t="s">
        <v>474</v>
      </c>
      <c r="D86" t="s">
        <v>474</v>
      </c>
      <c r="E86" t="s">
        <v>183</v>
      </c>
      <c r="F86" t="s">
        <v>184</v>
      </c>
      <c r="H86" t="s">
        <v>475</v>
      </c>
      <c r="K86" t="s">
        <v>476</v>
      </c>
      <c r="L86" t="s">
        <v>468</v>
      </c>
      <c r="M86" t="s">
        <v>188</v>
      </c>
      <c r="N86" s="5" t="s">
        <v>477</v>
      </c>
    </row>
    <row r="87" spans="1:14">
      <c r="A87" t="s">
        <v>478</v>
      </c>
      <c r="B87" t="s">
        <v>478</v>
      </c>
      <c r="C87" t="s">
        <v>478</v>
      </c>
      <c r="D87" t="s">
        <v>478</v>
      </c>
      <c r="E87" t="s">
        <v>183</v>
      </c>
      <c r="F87" t="s">
        <v>184</v>
      </c>
      <c r="H87" t="s">
        <v>479</v>
      </c>
      <c r="K87" t="s">
        <v>476</v>
      </c>
      <c r="L87" t="s">
        <v>468</v>
      </c>
      <c r="M87" t="s">
        <v>188</v>
      </c>
      <c r="N87" s="5" t="s">
        <v>477</v>
      </c>
    </row>
    <row r="88" spans="1:14">
      <c r="A88" t="s">
        <v>480</v>
      </c>
      <c r="B88" t="s">
        <v>480</v>
      </c>
      <c r="C88" t="s">
        <v>480</v>
      </c>
      <c r="D88" t="s">
        <v>480</v>
      </c>
      <c r="E88" t="s">
        <v>183</v>
      </c>
      <c r="F88" t="s">
        <v>184</v>
      </c>
      <c r="H88" t="s">
        <v>481</v>
      </c>
      <c r="K88" t="s">
        <v>482</v>
      </c>
      <c r="L88" t="s">
        <v>468</v>
      </c>
      <c r="M88" t="s">
        <v>188</v>
      </c>
      <c r="N88" s="5" t="s">
        <v>477</v>
      </c>
    </row>
    <row r="89" spans="1:14">
      <c r="A89" t="s">
        <v>483</v>
      </c>
      <c r="B89" t="s">
        <v>483</v>
      </c>
      <c r="C89" t="s">
        <v>483</v>
      </c>
      <c r="D89" t="s">
        <v>483</v>
      </c>
      <c r="E89" t="s">
        <v>183</v>
      </c>
      <c r="F89" t="s">
        <v>184</v>
      </c>
      <c r="H89" t="s">
        <v>484</v>
      </c>
      <c r="K89" t="s">
        <v>482</v>
      </c>
      <c r="L89" t="s">
        <v>468</v>
      </c>
      <c r="M89" t="s">
        <v>188</v>
      </c>
      <c r="N89" s="5" t="s">
        <v>477</v>
      </c>
    </row>
    <row r="90" spans="1:14">
      <c r="A90" t="s">
        <v>485</v>
      </c>
      <c r="B90" t="s">
        <v>485</v>
      </c>
      <c r="C90" t="s">
        <v>485</v>
      </c>
      <c r="D90" t="s">
        <v>485</v>
      </c>
      <c r="E90" t="s">
        <v>183</v>
      </c>
      <c r="F90" t="s">
        <v>184</v>
      </c>
      <c r="H90" t="s">
        <v>486</v>
      </c>
      <c r="K90" t="s">
        <v>487</v>
      </c>
      <c r="L90" t="s">
        <v>468</v>
      </c>
      <c r="M90" t="s">
        <v>188</v>
      </c>
      <c r="N90" s="5" t="s">
        <v>488</v>
      </c>
    </row>
    <row r="91" spans="1:14">
      <c r="A91" t="s">
        <v>489</v>
      </c>
      <c r="B91" t="s">
        <v>489</v>
      </c>
      <c r="C91" t="s">
        <v>489</v>
      </c>
      <c r="D91" t="s">
        <v>489</v>
      </c>
      <c r="E91" t="s">
        <v>183</v>
      </c>
      <c r="F91" t="s">
        <v>184</v>
      </c>
      <c r="H91" t="s">
        <v>490</v>
      </c>
      <c r="K91" t="s">
        <v>476</v>
      </c>
      <c r="L91" t="s">
        <v>468</v>
      </c>
      <c r="M91" t="s">
        <v>188</v>
      </c>
      <c r="N91" s="5" t="s">
        <v>491</v>
      </c>
    </row>
    <row r="92" spans="1:14">
      <c r="A92" t="s">
        <v>492</v>
      </c>
      <c r="B92" t="s">
        <v>492</v>
      </c>
      <c r="C92" t="s">
        <v>492</v>
      </c>
      <c r="D92" t="s">
        <v>492</v>
      </c>
      <c r="E92" t="s">
        <v>183</v>
      </c>
      <c r="F92" t="s">
        <v>184</v>
      </c>
      <c r="H92" t="s">
        <v>466</v>
      </c>
      <c r="K92" t="s">
        <v>467</v>
      </c>
      <c r="L92" t="s">
        <v>468</v>
      </c>
      <c r="M92" t="s">
        <v>188</v>
      </c>
      <c r="N92" s="5" t="s">
        <v>493</v>
      </c>
    </row>
    <row r="93" spans="1:14">
      <c r="A93" t="s">
        <v>494</v>
      </c>
      <c r="B93" t="s">
        <v>494</v>
      </c>
      <c r="C93" t="s">
        <v>494</v>
      </c>
      <c r="D93" t="s">
        <v>494</v>
      </c>
      <c r="E93" t="s">
        <v>183</v>
      </c>
      <c r="F93" t="s">
        <v>184</v>
      </c>
      <c r="H93" t="s">
        <v>495</v>
      </c>
      <c r="K93" t="s">
        <v>496</v>
      </c>
      <c r="L93" t="s">
        <v>497</v>
      </c>
      <c r="M93" t="s">
        <v>188</v>
      </c>
      <c r="N93" s="5" t="s">
        <v>498</v>
      </c>
    </row>
    <row r="94" spans="1:14">
      <c r="A94" t="s">
        <v>499</v>
      </c>
      <c r="B94" t="s">
        <v>499</v>
      </c>
      <c r="C94" t="s">
        <v>499</v>
      </c>
      <c r="D94" t="s">
        <v>499</v>
      </c>
      <c r="E94" t="s">
        <v>183</v>
      </c>
      <c r="F94" t="s">
        <v>184</v>
      </c>
      <c r="H94" t="s">
        <v>500</v>
      </c>
      <c r="K94" t="s">
        <v>501</v>
      </c>
      <c r="L94" t="s">
        <v>497</v>
      </c>
      <c r="M94" t="s">
        <v>188</v>
      </c>
      <c r="N94" s="5" t="s">
        <v>502</v>
      </c>
    </row>
    <row r="95" spans="1:14">
      <c r="A95" t="s">
        <v>503</v>
      </c>
      <c r="B95" t="s">
        <v>503</v>
      </c>
      <c r="C95" t="s">
        <v>503</v>
      </c>
      <c r="D95" t="s">
        <v>503</v>
      </c>
      <c r="E95" t="s">
        <v>183</v>
      </c>
      <c r="F95" t="s">
        <v>184</v>
      </c>
      <c r="H95" t="s">
        <v>504</v>
      </c>
      <c r="K95" t="s">
        <v>501</v>
      </c>
      <c r="L95" t="s">
        <v>497</v>
      </c>
      <c r="M95" t="s">
        <v>188</v>
      </c>
      <c r="N95" s="5" t="s">
        <v>505</v>
      </c>
    </row>
    <row r="96" spans="1:14">
      <c r="A96" t="s">
        <v>506</v>
      </c>
      <c r="B96" t="s">
        <v>506</v>
      </c>
      <c r="C96" t="s">
        <v>506</v>
      </c>
      <c r="D96" t="s">
        <v>506</v>
      </c>
      <c r="E96" t="s">
        <v>183</v>
      </c>
      <c r="F96" t="s">
        <v>184</v>
      </c>
      <c r="H96" t="s">
        <v>507</v>
      </c>
      <c r="K96" t="s">
        <v>508</v>
      </c>
      <c r="L96" t="s">
        <v>497</v>
      </c>
      <c r="M96" t="s">
        <v>188</v>
      </c>
      <c r="N96" s="5" t="s">
        <v>505</v>
      </c>
    </row>
    <row r="97" spans="1:14">
      <c r="A97" t="s">
        <v>509</v>
      </c>
      <c r="B97" t="s">
        <v>509</v>
      </c>
      <c r="C97" t="s">
        <v>509</v>
      </c>
      <c r="D97" t="s">
        <v>509</v>
      </c>
      <c r="E97" t="s">
        <v>183</v>
      </c>
      <c r="F97" t="s">
        <v>184</v>
      </c>
      <c r="H97" t="s">
        <v>510</v>
      </c>
      <c r="K97" t="s">
        <v>511</v>
      </c>
      <c r="L97" t="s">
        <v>497</v>
      </c>
      <c r="M97" t="s">
        <v>188</v>
      </c>
      <c r="N97" s="5" t="s">
        <v>512</v>
      </c>
    </row>
    <row r="98" spans="1:14">
      <c r="A98" t="s">
        <v>513</v>
      </c>
      <c r="B98" t="s">
        <v>513</v>
      </c>
      <c r="C98" t="s">
        <v>513</v>
      </c>
      <c r="D98" t="s">
        <v>513</v>
      </c>
      <c r="E98" t="s">
        <v>183</v>
      </c>
      <c r="F98" t="s">
        <v>184</v>
      </c>
      <c r="H98" t="s">
        <v>514</v>
      </c>
      <c r="K98" t="s">
        <v>511</v>
      </c>
      <c r="L98" t="s">
        <v>497</v>
      </c>
      <c r="M98" t="s">
        <v>188</v>
      </c>
      <c r="N98" s="5" t="s">
        <v>512</v>
      </c>
    </row>
    <row r="99" spans="1:14">
      <c r="A99" t="s">
        <v>515</v>
      </c>
      <c r="B99" t="s">
        <v>515</v>
      </c>
      <c r="C99" t="s">
        <v>515</v>
      </c>
      <c r="D99" t="s">
        <v>515</v>
      </c>
      <c r="E99" t="s">
        <v>183</v>
      </c>
      <c r="F99" t="s">
        <v>184</v>
      </c>
      <c r="H99" t="s">
        <v>516</v>
      </c>
      <c r="K99" t="s">
        <v>517</v>
      </c>
      <c r="L99" t="s">
        <v>497</v>
      </c>
      <c r="M99" t="s">
        <v>188</v>
      </c>
      <c r="N99" s="5" t="s">
        <v>512</v>
      </c>
    </row>
    <row r="100" spans="1:14">
      <c r="A100" t="s">
        <v>518</v>
      </c>
      <c r="B100" t="s">
        <v>518</v>
      </c>
      <c r="C100" t="s">
        <v>518</v>
      </c>
      <c r="D100" t="s">
        <v>518</v>
      </c>
      <c r="E100" t="s">
        <v>183</v>
      </c>
      <c r="F100" t="s">
        <v>184</v>
      </c>
      <c r="H100" t="s">
        <v>519</v>
      </c>
      <c r="K100" t="s">
        <v>517</v>
      </c>
      <c r="L100" t="s">
        <v>497</v>
      </c>
      <c r="M100" t="s">
        <v>188</v>
      </c>
      <c r="N100" s="5" t="s">
        <v>512</v>
      </c>
    </row>
    <row r="101" spans="1:14">
      <c r="A101" t="s">
        <v>520</v>
      </c>
      <c r="B101" t="s">
        <v>520</v>
      </c>
      <c r="C101" t="s">
        <v>520</v>
      </c>
      <c r="D101" t="s">
        <v>520</v>
      </c>
      <c r="E101" t="s">
        <v>183</v>
      </c>
      <c r="F101" t="s">
        <v>184</v>
      </c>
      <c r="H101" t="s">
        <v>521</v>
      </c>
      <c r="K101" t="s">
        <v>517</v>
      </c>
      <c r="L101" t="s">
        <v>497</v>
      </c>
      <c r="M101" t="s">
        <v>188</v>
      </c>
      <c r="N101" s="5" t="s">
        <v>512</v>
      </c>
    </row>
    <row r="102" spans="1:14">
      <c r="A102" t="s">
        <v>522</v>
      </c>
      <c r="B102" t="s">
        <v>522</v>
      </c>
      <c r="C102" t="s">
        <v>522</v>
      </c>
      <c r="D102" t="s">
        <v>522</v>
      </c>
      <c r="E102" t="s">
        <v>183</v>
      </c>
      <c r="F102" t="s">
        <v>184</v>
      </c>
      <c r="H102" t="s">
        <v>523</v>
      </c>
      <c r="K102" t="s">
        <v>517</v>
      </c>
      <c r="L102" t="s">
        <v>497</v>
      </c>
      <c r="M102" t="s">
        <v>188</v>
      </c>
      <c r="N102" s="5" t="s">
        <v>512</v>
      </c>
    </row>
    <row r="103" spans="1:14">
      <c r="A103" t="s">
        <v>524</v>
      </c>
      <c r="B103" t="s">
        <v>524</v>
      </c>
      <c r="C103" t="s">
        <v>524</v>
      </c>
      <c r="D103" t="s">
        <v>524</v>
      </c>
      <c r="E103" t="s">
        <v>183</v>
      </c>
      <c r="F103" t="s">
        <v>184</v>
      </c>
      <c r="H103" t="s">
        <v>525</v>
      </c>
      <c r="K103" t="s">
        <v>526</v>
      </c>
      <c r="L103" t="s">
        <v>527</v>
      </c>
      <c r="M103" t="s">
        <v>188</v>
      </c>
      <c r="N103" s="5" t="s">
        <v>528</v>
      </c>
    </row>
    <row r="104" spans="1:14">
      <c r="A104" t="s">
        <v>529</v>
      </c>
      <c r="B104" t="s">
        <v>529</v>
      </c>
      <c r="C104" t="s">
        <v>529</v>
      </c>
      <c r="D104" t="s">
        <v>529</v>
      </c>
      <c r="E104" t="s">
        <v>183</v>
      </c>
      <c r="F104" t="s">
        <v>184</v>
      </c>
      <c r="H104" t="s">
        <v>530</v>
      </c>
      <c r="K104" t="s">
        <v>531</v>
      </c>
      <c r="L104" t="s">
        <v>527</v>
      </c>
      <c r="M104" t="s">
        <v>188</v>
      </c>
      <c r="N104" s="5" t="s">
        <v>528</v>
      </c>
    </row>
    <row r="105" spans="1:14">
      <c r="A105" t="s">
        <v>532</v>
      </c>
      <c r="B105" t="s">
        <v>532</v>
      </c>
      <c r="C105" t="s">
        <v>532</v>
      </c>
      <c r="D105" t="s">
        <v>532</v>
      </c>
      <c r="E105" t="s">
        <v>183</v>
      </c>
      <c r="F105" t="s">
        <v>184</v>
      </c>
      <c r="H105" t="s">
        <v>533</v>
      </c>
      <c r="K105" t="s">
        <v>534</v>
      </c>
      <c r="L105" t="s">
        <v>527</v>
      </c>
      <c r="M105" t="s">
        <v>188</v>
      </c>
      <c r="N105" s="5" t="s">
        <v>535</v>
      </c>
    </row>
    <row r="106" spans="1:14">
      <c r="A106" t="s">
        <v>536</v>
      </c>
      <c r="B106" t="s">
        <v>536</v>
      </c>
      <c r="C106" t="s">
        <v>536</v>
      </c>
      <c r="D106" t="s">
        <v>536</v>
      </c>
      <c r="E106" t="s">
        <v>183</v>
      </c>
      <c r="F106" t="s">
        <v>184</v>
      </c>
      <c r="H106" t="s">
        <v>537</v>
      </c>
      <c r="K106" t="s">
        <v>538</v>
      </c>
      <c r="L106" t="s">
        <v>539</v>
      </c>
      <c r="M106" t="s">
        <v>188</v>
      </c>
      <c r="N106" s="5" t="s">
        <v>540</v>
      </c>
    </row>
    <row r="107" spans="1:14">
      <c r="A107" t="s">
        <v>541</v>
      </c>
      <c r="B107" t="s">
        <v>541</v>
      </c>
      <c r="C107" t="s">
        <v>541</v>
      </c>
      <c r="D107" t="s">
        <v>541</v>
      </c>
      <c r="E107" t="s">
        <v>183</v>
      </c>
      <c r="F107" t="s">
        <v>184</v>
      </c>
      <c r="H107" t="s">
        <v>542</v>
      </c>
      <c r="K107" t="s">
        <v>543</v>
      </c>
      <c r="L107" t="s">
        <v>539</v>
      </c>
      <c r="M107" t="s">
        <v>188</v>
      </c>
      <c r="N107" s="5" t="s">
        <v>544</v>
      </c>
    </row>
    <row r="108" spans="1:14">
      <c r="A108" t="s">
        <v>545</v>
      </c>
      <c r="B108" t="s">
        <v>545</v>
      </c>
      <c r="C108" t="s">
        <v>545</v>
      </c>
      <c r="D108" t="s">
        <v>545</v>
      </c>
      <c r="E108" t="s">
        <v>183</v>
      </c>
      <c r="F108" t="s">
        <v>184</v>
      </c>
      <c r="H108" t="s">
        <v>546</v>
      </c>
      <c r="K108" t="s">
        <v>547</v>
      </c>
      <c r="L108" t="s">
        <v>539</v>
      </c>
      <c r="M108" t="s">
        <v>188</v>
      </c>
      <c r="N108" s="5" t="s">
        <v>544</v>
      </c>
    </row>
    <row r="109" spans="1:14">
      <c r="A109" t="s">
        <v>548</v>
      </c>
      <c r="B109" t="s">
        <v>548</v>
      </c>
      <c r="C109" t="s">
        <v>548</v>
      </c>
      <c r="D109" t="s">
        <v>548</v>
      </c>
      <c r="E109" t="s">
        <v>549</v>
      </c>
      <c r="F109" t="s">
        <v>184</v>
      </c>
      <c r="H109" t="s">
        <v>550</v>
      </c>
      <c r="K109" t="s">
        <v>547</v>
      </c>
      <c r="L109" t="s">
        <v>539</v>
      </c>
      <c r="M109" t="s">
        <v>188</v>
      </c>
      <c r="N109" s="5" t="s">
        <v>551</v>
      </c>
    </row>
    <row r="110" spans="1:14">
      <c r="A110" t="s">
        <v>552</v>
      </c>
      <c r="B110" t="s">
        <v>552</v>
      </c>
      <c r="C110" t="s">
        <v>552</v>
      </c>
      <c r="D110" t="s">
        <v>552</v>
      </c>
      <c r="E110" t="s">
        <v>183</v>
      </c>
      <c r="F110" t="s">
        <v>184</v>
      </c>
      <c r="H110" t="s">
        <v>553</v>
      </c>
      <c r="K110" t="s">
        <v>554</v>
      </c>
      <c r="L110" t="s">
        <v>555</v>
      </c>
      <c r="M110" t="s">
        <v>188</v>
      </c>
      <c r="N110" s="5" t="s">
        <v>556</v>
      </c>
    </row>
    <row r="111" spans="1:14">
      <c r="A111" t="s">
        <v>557</v>
      </c>
      <c r="B111" t="s">
        <v>557</v>
      </c>
      <c r="C111" t="s">
        <v>557</v>
      </c>
      <c r="D111" t="s">
        <v>557</v>
      </c>
      <c r="E111" t="s">
        <v>183</v>
      </c>
      <c r="F111" t="s">
        <v>184</v>
      </c>
      <c r="H111" t="s">
        <v>558</v>
      </c>
      <c r="K111" t="s">
        <v>559</v>
      </c>
      <c r="L111" t="s">
        <v>555</v>
      </c>
      <c r="M111" t="s">
        <v>188</v>
      </c>
      <c r="N111" s="5" t="s">
        <v>556</v>
      </c>
    </row>
    <row r="112" spans="1:14">
      <c r="A112" t="s">
        <v>560</v>
      </c>
      <c r="B112" t="s">
        <v>560</v>
      </c>
      <c r="C112" t="s">
        <v>560</v>
      </c>
      <c r="D112" t="s">
        <v>560</v>
      </c>
      <c r="E112" t="s">
        <v>183</v>
      </c>
      <c r="F112" t="s">
        <v>184</v>
      </c>
      <c r="H112" t="s">
        <v>561</v>
      </c>
      <c r="K112" t="s">
        <v>562</v>
      </c>
      <c r="L112" t="s">
        <v>555</v>
      </c>
      <c r="M112" t="s">
        <v>188</v>
      </c>
      <c r="N112" s="5" t="s">
        <v>563</v>
      </c>
    </row>
    <row r="113" spans="1:14">
      <c r="A113" t="s">
        <v>564</v>
      </c>
      <c r="B113" t="s">
        <v>564</v>
      </c>
      <c r="C113" t="s">
        <v>564</v>
      </c>
      <c r="D113" t="s">
        <v>564</v>
      </c>
      <c r="E113" t="s">
        <v>183</v>
      </c>
      <c r="F113" t="s">
        <v>184</v>
      </c>
      <c r="H113" t="s">
        <v>565</v>
      </c>
      <c r="K113" t="s">
        <v>566</v>
      </c>
      <c r="L113" t="s">
        <v>555</v>
      </c>
      <c r="M113" t="s">
        <v>188</v>
      </c>
      <c r="N113" s="5" t="s">
        <v>567</v>
      </c>
    </row>
    <row r="114" spans="1:14">
      <c r="A114" t="s">
        <v>568</v>
      </c>
      <c r="B114" t="s">
        <v>568</v>
      </c>
      <c r="C114" t="s">
        <v>568</v>
      </c>
      <c r="D114" t="s">
        <v>568</v>
      </c>
      <c r="E114" t="s">
        <v>183</v>
      </c>
      <c r="F114" t="s">
        <v>184</v>
      </c>
      <c r="H114" t="s">
        <v>569</v>
      </c>
      <c r="K114" t="s">
        <v>570</v>
      </c>
      <c r="L114" t="s">
        <v>555</v>
      </c>
      <c r="M114" t="s">
        <v>188</v>
      </c>
      <c r="N114" s="5" t="s">
        <v>571</v>
      </c>
    </row>
    <row r="115" spans="1:14">
      <c r="A115" t="s">
        <v>572</v>
      </c>
      <c r="B115" t="s">
        <v>572</v>
      </c>
      <c r="C115" t="s">
        <v>572</v>
      </c>
      <c r="D115" t="s">
        <v>572</v>
      </c>
      <c r="E115" t="s">
        <v>183</v>
      </c>
      <c r="F115" t="s">
        <v>184</v>
      </c>
      <c r="H115" t="s">
        <v>573</v>
      </c>
      <c r="K115" t="s">
        <v>574</v>
      </c>
      <c r="L115" t="s">
        <v>555</v>
      </c>
      <c r="M115" t="s">
        <v>188</v>
      </c>
      <c r="N115" s="5" t="s">
        <v>575</v>
      </c>
    </row>
    <row r="116" spans="1:14">
      <c r="A116" t="s">
        <v>576</v>
      </c>
      <c r="B116" t="s">
        <v>576</v>
      </c>
      <c r="C116" t="s">
        <v>576</v>
      </c>
      <c r="D116" t="s">
        <v>576</v>
      </c>
      <c r="E116" t="s">
        <v>183</v>
      </c>
      <c r="F116" t="s">
        <v>184</v>
      </c>
      <c r="H116" t="s">
        <v>577</v>
      </c>
      <c r="K116" t="s">
        <v>578</v>
      </c>
      <c r="L116" t="s">
        <v>555</v>
      </c>
      <c r="M116" t="s">
        <v>188</v>
      </c>
      <c r="N116" s="5" t="s">
        <v>579</v>
      </c>
    </row>
    <row r="117" spans="1:14">
      <c r="A117" t="s">
        <v>580</v>
      </c>
      <c r="B117" t="s">
        <v>580</v>
      </c>
      <c r="C117" t="s">
        <v>580</v>
      </c>
      <c r="D117" t="s">
        <v>580</v>
      </c>
      <c r="E117" t="s">
        <v>183</v>
      </c>
      <c r="F117" t="s">
        <v>184</v>
      </c>
      <c r="H117" t="s">
        <v>581</v>
      </c>
      <c r="K117" t="s">
        <v>582</v>
      </c>
      <c r="L117" t="s">
        <v>555</v>
      </c>
      <c r="M117" t="s">
        <v>188</v>
      </c>
      <c r="N117" s="5" t="s">
        <v>583</v>
      </c>
    </row>
    <row r="118" spans="1:14">
      <c r="A118" t="s">
        <v>584</v>
      </c>
      <c r="B118" t="s">
        <v>584</v>
      </c>
      <c r="C118" t="s">
        <v>584</v>
      </c>
      <c r="D118" t="s">
        <v>584</v>
      </c>
      <c r="E118" t="s">
        <v>183</v>
      </c>
      <c r="F118" t="s">
        <v>184</v>
      </c>
      <c r="H118" t="s">
        <v>585</v>
      </c>
      <c r="K118" t="s">
        <v>582</v>
      </c>
      <c r="L118" t="s">
        <v>555</v>
      </c>
      <c r="M118" t="s">
        <v>188</v>
      </c>
      <c r="N118" s="5" t="s">
        <v>583</v>
      </c>
    </row>
    <row r="119" spans="1:14">
      <c r="A119" t="s">
        <v>586</v>
      </c>
      <c r="B119" t="s">
        <v>586</v>
      </c>
      <c r="C119" t="s">
        <v>586</v>
      </c>
      <c r="D119" t="s">
        <v>586</v>
      </c>
      <c r="E119" t="s">
        <v>183</v>
      </c>
      <c r="F119" t="s">
        <v>184</v>
      </c>
      <c r="H119" t="s">
        <v>587</v>
      </c>
      <c r="K119" t="s">
        <v>582</v>
      </c>
      <c r="L119" t="s">
        <v>555</v>
      </c>
      <c r="M119" t="s">
        <v>188</v>
      </c>
      <c r="N119" s="5" t="s">
        <v>588</v>
      </c>
    </row>
    <row r="120" spans="1:14">
      <c r="A120" t="s">
        <v>589</v>
      </c>
      <c r="B120" t="s">
        <v>589</v>
      </c>
      <c r="C120" t="s">
        <v>589</v>
      </c>
      <c r="D120" t="s">
        <v>589</v>
      </c>
      <c r="E120" t="s">
        <v>183</v>
      </c>
      <c r="F120" t="s">
        <v>184</v>
      </c>
      <c r="H120" t="s">
        <v>590</v>
      </c>
      <c r="K120" t="s">
        <v>582</v>
      </c>
      <c r="L120" t="s">
        <v>555</v>
      </c>
      <c r="M120" t="s">
        <v>188</v>
      </c>
      <c r="N120" s="5" t="s">
        <v>591</v>
      </c>
    </row>
    <row r="121" spans="1:14">
      <c r="A121" t="s">
        <v>592</v>
      </c>
      <c r="B121" t="s">
        <v>592</v>
      </c>
      <c r="C121" t="s">
        <v>592</v>
      </c>
      <c r="D121" t="s">
        <v>592</v>
      </c>
      <c r="E121" t="s">
        <v>183</v>
      </c>
      <c r="F121" t="s">
        <v>184</v>
      </c>
      <c r="H121" t="s">
        <v>593</v>
      </c>
      <c r="K121" t="s">
        <v>594</v>
      </c>
      <c r="L121" t="s">
        <v>555</v>
      </c>
      <c r="M121" t="s">
        <v>188</v>
      </c>
      <c r="N121" s="5" t="s">
        <v>595</v>
      </c>
    </row>
    <row r="122" spans="1:14">
      <c r="A122" t="s">
        <v>596</v>
      </c>
      <c r="B122" t="s">
        <v>596</v>
      </c>
      <c r="C122" t="s">
        <v>596</v>
      </c>
      <c r="D122" t="s">
        <v>596</v>
      </c>
      <c r="E122" t="s">
        <v>183</v>
      </c>
      <c r="F122" t="s">
        <v>184</v>
      </c>
      <c r="H122" t="s">
        <v>597</v>
      </c>
      <c r="K122" t="s">
        <v>594</v>
      </c>
      <c r="L122" t="s">
        <v>555</v>
      </c>
      <c r="M122" t="s">
        <v>188</v>
      </c>
      <c r="N122" s="5" t="s">
        <v>595</v>
      </c>
    </row>
    <row r="123" spans="1:14">
      <c r="A123" t="s">
        <v>598</v>
      </c>
      <c r="B123" t="s">
        <v>598</v>
      </c>
      <c r="C123" t="s">
        <v>598</v>
      </c>
      <c r="D123" t="s">
        <v>598</v>
      </c>
      <c r="E123" t="s">
        <v>183</v>
      </c>
      <c r="F123" t="s">
        <v>184</v>
      </c>
      <c r="H123" t="s">
        <v>599</v>
      </c>
      <c r="K123" t="s">
        <v>594</v>
      </c>
      <c r="L123" t="s">
        <v>555</v>
      </c>
      <c r="M123" t="s">
        <v>188</v>
      </c>
      <c r="N123" s="5" t="s">
        <v>600</v>
      </c>
    </row>
    <row r="124" spans="1:14">
      <c r="A124" t="s">
        <v>601</v>
      </c>
      <c r="B124" t="s">
        <v>601</v>
      </c>
      <c r="C124" t="s">
        <v>601</v>
      </c>
      <c r="D124" t="s">
        <v>601</v>
      </c>
      <c r="E124" t="s">
        <v>183</v>
      </c>
      <c r="F124" t="s">
        <v>184</v>
      </c>
      <c r="H124" t="s">
        <v>602</v>
      </c>
      <c r="K124" t="s">
        <v>603</v>
      </c>
      <c r="L124" t="s">
        <v>555</v>
      </c>
      <c r="M124" t="s">
        <v>188</v>
      </c>
      <c r="N124" s="5" t="s">
        <v>604</v>
      </c>
    </row>
    <row r="125" spans="1:14">
      <c r="A125" t="s">
        <v>605</v>
      </c>
      <c r="B125" t="s">
        <v>605</v>
      </c>
      <c r="C125" t="s">
        <v>605</v>
      </c>
      <c r="D125" t="s">
        <v>605</v>
      </c>
      <c r="E125" t="s">
        <v>183</v>
      </c>
      <c r="F125" t="s">
        <v>184</v>
      </c>
      <c r="H125" t="s">
        <v>606</v>
      </c>
      <c r="K125" t="s">
        <v>607</v>
      </c>
      <c r="L125" t="s">
        <v>555</v>
      </c>
      <c r="M125" t="s">
        <v>188</v>
      </c>
      <c r="N125" s="5" t="s">
        <v>608</v>
      </c>
    </row>
    <row r="126" spans="1:14">
      <c r="A126" t="s">
        <v>609</v>
      </c>
      <c r="B126" t="s">
        <v>609</v>
      </c>
      <c r="C126" t="s">
        <v>609</v>
      </c>
      <c r="D126" t="s">
        <v>609</v>
      </c>
      <c r="E126" t="s">
        <v>183</v>
      </c>
      <c r="F126" t="s">
        <v>184</v>
      </c>
      <c r="H126" t="s">
        <v>610</v>
      </c>
      <c r="K126" t="s">
        <v>607</v>
      </c>
      <c r="L126" t="s">
        <v>555</v>
      </c>
      <c r="M126" t="s">
        <v>188</v>
      </c>
      <c r="N126" s="5" t="s">
        <v>608</v>
      </c>
    </row>
    <row r="127" spans="1:14">
      <c r="A127" t="s">
        <v>611</v>
      </c>
      <c r="B127" t="s">
        <v>611</v>
      </c>
      <c r="C127" t="s">
        <v>611</v>
      </c>
      <c r="D127" t="s">
        <v>611</v>
      </c>
      <c r="E127" t="s">
        <v>183</v>
      </c>
      <c r="F127" t="s">
        <v>184</v>
      </c>
      <c r="H127" t="s">
        <v>612</v>
      </c>
      <c r="K127" t="s">
        <v>613</v>
      </c>
      <c r="L127" t="s">
        <v>555</v>
      </c>
      <c r="M127" t="s">
        <v>188</v>
      </c>
      <c r="N127" s="5" t="s">
        <v>608</v>
      </c>
    </row>
    <row r="128" spans="1:14">
      <c r="A128" t="s">
        <v>614</v>
      </c>
      <c r="B128" t="s">
        <v>614</v>
      </c>
      <c r="C128" t="s">
        <v>614</v>
      </c>
      <c r="D128" t="s">
        <v>614</v>
      </c>
      <c r="E128" t="s">
        <v>183</v>
      </c>
      <c r="F128" t="s">
        <v>184</v>
      </c>
      <c r="H128" t="s">
        <v>615</v>
      </c>
      <c r="K128" t="s">
        <v>613</v>
      </c>
      <c r="L128" t="s">
        <v>555</v>
      </c>
      <c r="M128" t="s">
        <v>188</v>
      </c>
      <c r="N128" s="5" t="s">
        <v>616</v>
      </c>
    </row>
    <row r="129" spans="1:14">
      <c r="A129" t="s">
        <v>617</v>
      </c>
      <c r="B129" t="s">
        <v>618</v>
      </c>
      <c r="C129" t="s">
        <v>618</v>
      </c>
      <c r="D129" t="s">
        <v>617</v>
      </c>
      <c r="E129" t="s">
        <v>183</v>
      </c>
      <c r="F129" t="s">
        <v>184</v>
      </c>
      <c r="H129" t="s">
        <v>619</v>
      </c>
      <c r="K129" t="s">
        <v>620</v>
      </c>
      <c r="L129" t="s">
        <v>555</v>
      </c>
      <c r="M129" t="s">
        <v>188</v>
      </c>
      <c r="N129" s="5" t="s">
        <v>621</v>
      </c>
    </row>
    <row r="130" spans="1:14">
      <c r="A130" t="s">
        <v>622</v>
      </c>
      <c r="B130" t="s">
        <v>622</v>
      </c>
      <c r="C130" t="s">
        <v>622</v>
      </c>
      <c r="D130" t="s">
        <v>622</v>
      </c>
      <c r="E130" t="s">
        <v>183</v>
      </c>
      <c r="F130" t="s">
        <v>184</v>
      </c>
      <c r="H130" t="s">
        <v>623</v>
      </c>
      <c r="K130" t="s">
        <v>620</v>
      </c>
      <c r="L130" t="s">
        <v>555</v>
      </c>
      <c r="M130" t="s">
        <v>188</v>
      </c>
      <c r="N130" s="5" t="s">
        <v>624</v>
      </c>
    </row>
    <row r="131" spans="1:14">
      <c r="A131" t="s">
        <v>625</v>
      </c>
      <c r="B131" t="s">
        <v>625</v>
      </c>
      <c r="C131" t="s">
        <v>625</v>
      </c>
      <c r="D131" t="s">
        <v>625</v>
      </c>
      <c r="E131" t="s">
        <v>183</v>
      </c>
      <c r="F131" t="s">
        <v>184</v>
      </c>
      <c r="H131" t="s">
        <v>626</v>
      </c>
      <c r="K131" t="s">
        <v>627</v>
      </c>
      <c r="L131" t="s">
        <v>555</v>
      </c>
      <c r="M131" t="s">
        <v>188</v>
      </c>
      <c r="N131" s="5" t="s">
        <v>628</v>
      </c>
    </row>
    <row r="132" spans="1:14">
      <c r="A132" t="s">
        <v>629</v>
      </c>
      <c r="B132" t="s">
        <v>629</v>
      </c>
      <c r="C132" t="s">
        <v>629</v>
      </c>
      <c r="D132" t="s">
        <v>629</v>
      </c>
      <c r="E132" t="s">
        <v>183</v>
      </c>
      <c r="F132" t="s">
        <v>184</v>
      </c>
      <c r="H132" t="s">
        <v>606</v>
      </c>
      <c r="K132" t="s">
        <v>630</v>
      </c>
      <c r="L132" t="s">
        <v>555</v>
      </c>
      <c r="M132" t="s">
        <v>188</v>
      </c>
      <c r="N132" s="5" t="s">
        <v>631</v>
      </c>
    </row>
    <row r="133" spans="1:14">
      <c r="A133" t="s">
        <v>632</v>
      </c>
      <c r="B133" t="s">
        <v>632</v>
      </c>
      <c r="C133" t="s">
        <v>632</v>
      </c>
      <c r="D133" t="s">
        <v>632</v>
      </c>
      <c r="E133" t="s">
        <v>183</v>
      </c>
      <c r="F133" t="s">
        <v>184</v>
      </c>
      <c r="H133" t="s">
        <v>633</v>
      </c>
      <c r="K133" t="s">
        <v>634</v>
      </c>
      <c r="L133" t="s">
        <v>555</v>
      </c>
      <c r="M133" t="s">
        <v>188</v>
      </c>
      <c r="N133" s="5" t="s">
        <v>635</v>
      </c>
    </row>
    <row r="134" spans="1:14">
      <c r="A134" t="s">
        <v>636</v>
      </c>
      <c r="B134" t="s">
        <v>636</v>
      </c>
      <c r="C134" t="s">
        <v>636</v>
      </c>
      <c r="D134" t="s">
        <v>636</v>
      </c>
      <c r="E134" t="s">
        <v>183</v>
      </c>
      <c r="F134" t="s">
        <v>184</v>
      </c>
      <c r="H134" t="s">
        <v>637</v>
      </c>
      <c r="K134" t="s">
        <v>634</v>
      </c>
      <c r="L134" t="s">
        <v>555</v>
      </c>
      <c r="M134" t="s">
        <v>188</v>
      </c>
      <c r="N134" s="5" t="s">
        <v>635</v>
      </c>
    </row>
    <row r="135" spans="1:14">
      <c r="A135" t="s">
        <v>638</v>
      </c>
      <c r="B135" t="s">
        <v>638</v>
      </c>
      <c r="C135" t="s">
        <v>638</v>
      </c>
      <c r="D135" t="s">
        <v>638</v>
      </c>
      <c r="E135" t="s">
        <v>183</v>
      </c>
      <c r="F135" t="s">
        <v>184</v>
      </c>
      <c r="H135" t="s">
        <v>639</v>
      </c>
      <c r="K135" t="s">
        <v>640</v>
      </c>
      <c r="L135" t="s">
        <v>555</v>
      </c>
      <c r="M135" t="s">
        <v>188</v>
      </c>
      <c r="N135" s="5" t="s">
        <v>635</v>
      </c>
    </row>
    <row r="136" spans="1:14">
      <c r="A136" t="s">
        <v>641</v>
      </c>
      <c r="B136" t="s">
        <v>641</v>
      </c>
      <c r="C136" t="s">
        <v>641</v>
      </c>
      <c r="D136" t="s">
        <v>641</v>
      </c>
      <c r="E136" t="s">
        <v>183</v>
      </c>
      <c r="H136" t="s">
        <v>642</v>
      </c>
      <c r="K136" t="s">
        <v>643</v>
      </c>
      <c r="L136" t="s">
        <v>644</v>
      </c>
      <c r="M136" t="s">
        <v>188</v>
      </c>
      <c r="N136" s="5" t="s">
        <v>645</v>
      </c>
    </row>
    <row r="137" spans="1:14">
      <c r="A137" t="s">
        <v>646</v>
      </c>
      <c r="B137" t="s">
        <v>646</v>
      </c>
      <c r="C137" t="s">
        <v>646</v>
      </c>
      <c r="D137" t="s">
        <v>646</v>
      </c>
      <c r="E137" t="s">
        <v>183</v>
      </c>
      <c r="F137" t="s">
        <v>184</v>
      </c>
      <c r="H137" t="s">
        <v>647</v>
      </c>
      <c r="K137" t="s">
        <v>648</v>
      </c>
      <c r="L137" t="s">
        <v>644</v>
      </c>
      <c r="M137" t="s">
        <v>188</v>
      </c>
      <c r="N137" s="5" t="s">
        <v>649</v>
      </c>
    </row>
    <row r="138" spans="1:14">
      <c r="A138" t="s">
        <v>650</v>
      </c>
      <c r="B138" t="s">
        <v>650</v>
      </c>
      <c r="C138" t="s">
        <v>650</v>
      </c>
      <c r="D138" t="s">
        <v>650</v>
      </c>
      <c r="E138" t="s">
        <v>183</v>
      </c>
      <c r="F138" t="s">
        <v>184</v>
      </c>
      <c r="H138" t="s">
        <v>651</v>
      </c>
      <c r="K138" t="s">
        <v>648</v>
      </c>
      <c r="L138" t="s">
        <v>644</v>
      </c>
      <c r="M138" t="s">
        <v>188</v>
      </c>
      <c r="N138" s="5" t="s">
        <v>649</v>
      </c>
    </row>
    <row r="139" spans="1:14">
      <c r="A139" t="s">
        <v>652</v>
      </c>
      <c r="B139" t="s">
        <v>652</v>
      </c>
      <c r="C139" t="s">
        <v>652</v>
      </c>
      <c r="D139" t="s">
        <v>652</v>
      </c>
      <c r="E139" t="s">
        <v>183</v>
      </c>
      <c r="F139" t="s">
        <v>184</v>
      </c>
      <c r="H139" t="s">
        <v>653</v>
      </c>
      <c r="K139" t="s">
        <v>654</v>
      </c>
      <c r="L139" t="s">
        <v>655</v>
      </c>
      <c r="M139" t="s">
        <v>188</v>
      </c>
      <c r="N139" s="5" t="s">
        <v>656</v>
      </c>
    </row>
    <row r="140" spans="1:14">
      <c r="A140" t="s">
        <v>657</v>
      </c>
      <c r="B140" t="s">
        <v>657</v>
      </c>
      <c r="C140" t="s">
        <v>657</v>
      </c>
      <c r="D140" t="s">
        <v>657</v>
      </c>
      <c r="E140" t="s">
        <v>183</v>
      </c>
      <c r="F140" t="s">
        <v>184</v>
      </c>
      <c r="H140" t="s">
        <v>658</v>
      </c>
      <c r="K140" t="s">
        <v>659</v>
      </c>
      <c r="L140" t="s">
        <v>660</v>
      </c>
      <c r="M140" t="s">
        <v>188</v>
      </c>
      <c r="N140" s="5" t="s">
        <v>661</v>
      </c>
    </row>
    <row r="141" spans="1:14">
      <c r="A141" t="s">
        <v>662</v>
      </c>
      <c r="B141" t="s">
        <v>662</v>
      </c>
      <c r="C141" t="s">
        <v>662</v>
      </c>
      <c r="D141" t="s">
        <v>662</v>
      </c>
      <c r="E141" t="s">
        <v>183</v>
      </c>
      <c r="F141" t="s">
        <v>184</v>
      </c>
      <c r="H141" t="s">
        <v>663</v>
      </c>
      <c r="K141" t="s">
        <v>664</v>
      </c>
      <c r="L141" t="s">
        <v>665</v>
      </c>
      <c r="M141" t="s">
        <v>188</v>
      </c>
      <c r="N141" s="5" t="s">
        <v>666</v>
      </c>
    </row>
    <row r="142" spans="1:14">
      <c r="A142" t="s">
        <v>667</v>
      </c>
      <c r="B142" t="s">
        <v>667</v>
      </c>
      <c r="C142" t="s">
        <v>667</v>
      </c>
      <c r="D142" t="s">
        <v>667</v>
      </c>
      <c r="E142" t="s">
        <v>183</v>
      </c>
      <c r="F142" t="s">
        <v>184</v>
      </c>
      <c r="H142" t="s">
        <v>668</v>
      </c>
      <c r="K142" t="s">
        <v>669</v>
      </c>
      <c r="L142" t="s">
        <v>665</v>
      </c>
      <c r="M142" t="s">
        <v>188</v>
      </c>
      <c r="N142" s="5" t="s">
        <v>670</v>
      </c>
    </row>
    <row r="143" spans="1:14">
      <c r="A143" t="s">
        <v>671</v>
      </c>
      <c r="B143" t="s">
        <v>671</v>
      </c>
      <c r="C143" t="s">
        <v>671</v>
      </c>
      <c r="D143" t="s">
        <v>671</v>
      </c>
      <c r="E143" t="s">
        <v>183</v>
      </c>
      <c r="F143" t="s">
        <v>184</v>
      </c>
      <c r="H143" t="s">
        <v>672</v>
      </c>
      <c r="K143" t="s">
        <v>673</v>
      </c>
      <c r="L143" t="s">
        <v>665</v>
      </c>
      <c r="M143" t="s">
        <v>188</v>
      </c>
      <c r="N143" s="5" t="s">
        <v>674</v>
      </c>
    </row>
    <row r="144" spans="1:14">
      <c r="A144" t="s">
        <v>675</v>
      </c>
      <c r="B144" t="s">
        <v>675</v>
      </c>
      <c r="C144" t="s">
        <v>675</v>
      </c>
      <c r="D144" t="s">
        <v>675</v>
      </c>
      <c r="E144" t="s">
        <v>183</v>
      </c>
      <c r="F144" t="s">
        <v>184</v>
      </c>
      <c r="H144" t="s">
        <v>676</v>
      </c>
      <c r="K144" t="s">
        <v>677</v>
      </c>
      <c r="L144" t="s">
        <v>665</v>
      </c>
      <c r="M144" t="s">
        <v>188</v>
      </c>
      <c r="N144" s="5" t="s">
        <v>678</v>
      </c>
    </row>
    <row r="145" spans="1:14">
      <c r="A145" t="s">
        <v>679</v>
      </c>
      <c r="B145" t="s">
        <v>679</v>
      </c>
      <c r="C145" t="s">
        <v>679</v>
      </c>
      <c r="D145" t="s">
        <v>679</v>
      </c>
      <c r="E145" t="s">
        <v>183</v>
      </c>
      <c r="F145" t="s">
        <v>184</v>
      </c>
      <c r="H145" t="s">
        <v>680</v>
      </c>
      <c r="K145" t="s">
        <v>681</v>
      </c>
      <c r="L145" t="s">
        <v>665</v>
      </c>
      <c r="M145" t="s">
        <v>188</v>
      </c>
      <c r="N145" s="5" t="s">
        <v>682</v>
      </c>
    </row>
    <row r="146" spans="1:14">
      <c r="A146" t="s">
        <v>683</v>
      </c>
      <c r="B146" t="s">
        <v>683</v>
      </c>
      <c r="C146" t="s">
        <v>683</v>
      </c>
      <c r="D146" t="s">
        <v>683</v>
      </c>
      <c r="E146" t="s">
        <v>183</v>
      </c>
      <c r="F146" t="s">
        <v>184</v>
      </c>
      <c r="H146" t="s">
        <v>684</v>
      </c>
      <c r="K146" t="s">
        <v>685</v>
      </c>
      <c r="L146" t="s">
        <v>665</v>
      </c>
      <c r="M146" t="s">
        <v>188</v>
      </c>
      <c r="N146" s="5" t="s">
        <v>686</v>
      </c>
    </row>
    <row r="147" spans="1:14">
      <c r="A147" t="s">
        <v>687</v>
      </c>
      <c r="B147" t="s">
        <v>687</v>
      </c>
      <c r="C147" t="s">
        <v>687</v>
      </c>
      <c r="D147" t="s">
        <v>687</v>
      </c>
      <c r="E147" t="s">
        <v>183</v>
      </c>
      <c r="F147" t="s">
        <v>184</v>
      </c>
      <c r="H147" t="s">
        <v>688</v>
      </c>
      <c r="K147" t="s">
        <v>689</v>
      </c>
      <c r="L147" t="s">
        <v>690</v>
      </c>
      <c r="M147" t="s">
        <v>188</v>
      </c>
      <c r="N147" s="5" t="s">
        <v>691</v>
      </c>
    </row>
    <row r="148" spans="1:14">
      <c r="A148" t="s">
        <v>692</v>
      </c>
      <c r="B148" t="s">
        <v>692</v>
      </c>
      <c r="C148" t="s">
        <v>692</v>
      </c>
      <c r="D148" t="s">
        <v>692</v>
      </c>
      <c r="E148" t="s">
        <v>183</v>
      </c>
      <c r="F148" t="s">
        <v>184</v>
      </c>
      <c r="H148" t="s">
        <v>693</v>
      </c>
      <c r="K148" t="s">
        <v>694</v>
      </c>
      <c r="L148" t="s">
        <v>690</v>
      </c>
      <c r="M148" t="s">
        <v>188</v>
      </c>
      <c r="N148" s="5" t="s">
        <v>695</v>
      </c>
    </row>
    <row r="149" spans="1:14">
      <c r="A149" t="s">
        <v>696</v>
      </c>
      <c r="B149" t="s">
        <v>696</v>
      </c>
      <c r="C149" t="s">
        <v>696</v>
      </c>
      <c r="D149" t="s">
        <v>696</v>
      </c>
      <c r="E149" t="s">
        <v>183</v>
      </c>
      <c r="F149" t="s">
        <v>184</v>
      </c>
      <c r="H149" t="s">
        <v>697</v>
      </c>
      <c r="K149" t="s">
        <v>698</v>
      </c>
      <c r="L149" t="s">
        <v>699</v>
      </c>
      <c r="M149" t="s">
        <v>188</v>
      </c>
      <c r="N149" s="5" t="s">
        <v>700</v>
      </c>
    </row>
    <row r="150" spans="1:14">
      <c r="A150" t="s">
        <v>701</v>
      </c>
      <c r="B150" t="s">
        <v>701</v>
      </c>
      <c r="C150" t="s">
        <v>701</v>
      </c>
      <c r="D150" t="s">
        <v>701</v>
      </c>
      <c r="E150" t="s">
        <v>183</v>
      </c>
      <c r="F150" t="s">
        <v>184</v>
      </c>
      <c r="H150" t="s">
        <v>702</v>
      </c>
      <c r="K150" t="s">
        <v>698</v>
      </c>
      <c r="L150" t="s">
        <v>699</v>
      </c>
      <c r="M150" t="s">
        <v>188</v>
      </c>
      <c r="N150" s="5" t="s">
        <v>700</v>
      </c>
    </row>
    <row r="151" spans="1:14">
      <c r="A151" t="s">
        <v>703</v>
      </c>
      <c r="B151" t="s">
        <v>703</v>
      </c>
      <c r="C151" t="s">
        <v>703</v>
      </c>
      <c r="D151" t="s">
        <v>703</v>
      </c>
      <c r="E151" t="s">
        <v>183</v>
      </c>
      <c r="F151" t="s">
        <v>184</v>
      </c>
      <c r="H151" t="s">
        <v>704</v>
      </c>
      <c r="K151" t="s">
        <v>543</v>
      </c>
      <c r="L151" t="s">
        <v>699</v>
      </c>
      <c r="M151" t="s">
        <v>188</v>
      </c>
      <c r="N151" s="5" t="s">
        <v>705</v>
      </c>
    </row>
    <row r="152" spans="1:14">
      <c r="A152" t="s">
        <v>706</v>
      </c>
      <c r="B152" t="s">
        <v>706</v>
      </c>
      <c r="C152" t="s">
        <v>706</v>
      </c>
      <c r="D152" t="s">
        <v>706</v>
      </c>
      <c r="E152" t="s">
        <v>183</v>
      </c>
      <c r="F152" t="s">
        <v>184</v>
      </c>
      <c r="H152" t="s">
        <v>707</v>
      </c>
      <c r="K152" t="s">
        <v>708</v>
      </c>
      <c r="L152" t="s">
        <v>699</v>
      </c>
      <c r="M152" t="s">
        <v>188</v>
      </c>
      <c r="N152" s="5" t="s">
        <v>709</v>
      </c>
    </row>
    <row r="153" spans="1:14">
      <c r="A153" t="s">
        <v>710</v>
      </c>
      <c r="B153" t="s">
        <v>710</v>
      </c>
      <c r="C153" t="s">
        <v>710</v>
      </c>
      <c r="D153" t="s">
        <v>710</v>
      </c>
      <c r="E153" t="s">
        <v>183</v>
      </c>
      <c r="F153" t="s">
        <v>184</v>
      </c>
      <c r="H153" t="s">
        <v>711</v>
      </c>
      <c r="K153" t="s">
        <v>712</v>
      </c>
      <c r="L153" t="s">
        <v>699</v>
      </c>
      <c r="M153" t="s">
        <v>188</v>
      </c>
      <c r="N153" s="5" t="s">
        <v>713</v>
      </c>
    </row>
    <row r="154" spans="1:14">
      <c r="A154" t="s">
        <v>714</v>
      </c>
      <c r="B154" t="s">
        <v>714</v>
      </c>
      <c r="C154" t="s">
        <v>714</v>
      </c>
      <c r="D154" t="s">
        <v>714</v>
      </c>
      <c r="E154" t="s">
        <v>183</v>
      </c>
      <c r="F154" t="s">
        <v>184</v>
      </c>
      <c r="H154" t="s">
        <v>715</v>
      </c>
      <c r="K154" t="s">
        <v>716</v>
      </c>
      <c r="L154" t="s">
        <v>699</v>
      </c>
      <c r="M154" t="s">
        <v>188</v>
      </c>
      <c r="N154" s="5" t="s">
        <v>717</v>
      </c>
    </row>
    <row r="155" spans="1:14">
      <c r="A155" t="s">
        <v>718</v>
      </c>
      <c r="B155" t="s">
        <v>718</v>
      </c>
      <c r="C155" t="s">
        <v>718</v>
      </c>
      <c r="D155" t="s">
        <v>718</v>
      </c>
      <c r="E155" t="s">
        <v>183</v>
      </c>
      <c r="F155" t="s">
        <v>184</v>
      </c>
      <c r="H155" t="s">
        <v>719</v>
      </c>
      <c r="K155" t="s">
        <v>720</v>
      </c>
      <c r="L155" t="s">
        <v>699</v>
      </c>
      <c r="M155" t="s">
        <v>188</v>
      </c>
      <c r="N155" s="5" t="s">
        <v>721</v>
      </c>
    </row>
    <row r="156" spans="1:14">
      <c r="A156" t="s">
        <v>722</v>
      </c>
      <c r="B156" t="s">
        <v>722</v>
      </c>
      <c r="C156" t="s">
        <v>722</v>
      </c>
      <c r="D156" t="s">
        <v>722</v>
      </c>
      <c r="E156" t="s">
        <v>183</v>
      </c>
      <c r="F156" t="s">
        <v>184</v>
      </c>
      <c r="H156" t="s">
        <v>723</v>
      </c>
      <c r="K156" t="s">
        <v>720</v>
      </c>
      <c r="L156" t="s">
        <v>699</v>
      </c>
      <c r="M156" t="s">
        <v>188</v>
      </c>
      <c r="N156" s="5" t="s">
        <v>721</v>
      </c>
    </row>
    <row r="157" spans="1:14">
      <c r="A157" t="s">
        <v>724</v>
      </c>
      <c r="B157" t="s">
        <v>724</v>
      </c>
      <c r="C157" t="s">
        <v>724</v>
      </c>
      <c r="D157" t="s">
        <v>724</v>
      </c>
      <c r="E157" t="s">
        <v>183</v>
      </c>
      <c r="F157" t="s">
        <v>184</v>
      </c>
      <c r="H157" t="s">
        <v>725</v>
      </c>
      <c r="K157" t="s">
        <v>726</v>
      </c>
      <c r="L157" t="s">
        <v>699</v>
      </c>
      <c r="M157" t="s">
        <v>188</v>
      </c>
      <c r="N157" s="5" t="s">
        <v>727</v>
      </c>
    </row>
    <row r="158" spans="1:14">
      <c r="A158" t="s">
        <v>728</v>
      </c>
      <c r="B158" t="s">
        <v>728</v>
      </c>
      <c r="C158" t="s">
        <v>728</v>
      </c>
      <c r="D158" t="s">
        <v>728</v>
      </c>
      <c r="E158" t="s">
        <v>183</v>
      </c>
      <c r="F158" t="s">
        <v>184</v>
      </c>
      <c r="H158" t="s">
        <v>729</v>
      </c>
      <c r="K158" t="s">
        <v>730</v>
      </c>
      <c r="L158" t="s">
        <v>699</v>
      </c>
      <c r="M158" t="s">
        <v>188</v>
      </c>
      <c r="N158" s="5" t="s">
        <v>731</v>
      </c>
    </row>
    <row r="159" spans="1:14">
      <c r="A159" t="s">
        <v>732</v>
      </c>
      <c r="B159" t="s">
        <v>732</v>
      </c>
      <c r="C159" t="s">
        <v>732</v>
      </c>
      <c r="D159" t="s">
        <v>732</v>
      </c>
      <c r="E159" t="s">
        <v>183</v>
      </c>
      <c r="F159" t="s">
        <v>184</v>
      </c>
      <c r="H159" t="s">
        <v>733</v>
      </c>
      <c r="K159" t="s">
        <v>734</v>
      </c>
      <c r="L159" t="s">
        <v>699</v>
      </c>
      <c r="M159" t="s">
        <v>188</v>
      </c>
      <c r="N159" s="5" t="s">
        <v>735</v>
      </c>
    </row>
    <row r="160" spans="1:14">
      <c r="A160" t="s">
        <v>736</v>
      </c>
      <c r="B160" t="s">
        <v>736</v>
      </c>
      <c r="C160" t="s">
        <v>736</v>
      </c>
      <c r="D160" t="s">
        <v>736</v>
      </c>
      <c r="E160" t="s">
        <v>183</v>
      </c>
      <c r="F160" t="s">
        <v>184</v>
      </c>
      <c r="H160" t="s">
        <v>737</v>
      </c>
      <c r="K160" t="s">
        <v>738</v>
      </c>
      <c r="L160" t="s">
        <v>739</v>
      </c>
      <c r="M160" t="s">
        <v>188</v>
      </c>
      <c r="N160" s="5" t="s">
        <v>740</v>
      </c>
    </row>
    <row r="161" spans="1:14">
      <c r="A161" t="s">
        <v>741</v>
      </c>
      <c r="B161" t="s">
        <v>741</v>
      </c>
      <c r="C161" t="s">
        <v>741</v>
      </c>
      <c r="D161" t="s">
        <v>741</v>
      </c>
      <c r="E161" t="s">
        <v>183</v>
      </c>
      <c r="F161" t="s">
        <v>184</v>
      </c>
      <c r="H161" t="s">
        <v>742</v>
      </c>
      <c r="K161" t="s">
        <v>743</v>
      </c>
      <c r="L161" t="s">
        <v>744</v>
      </c>
      <c r="M161" t="s">
        <v>188</v>
      </c>
      <c r="N161" s="5" t="s">
        <v>745</v>
      </c>
    </row>
    <row r="162" spans="1:14">
      <c r="A162" t="s">
        <v>746</v>
      </c>
      <c r="B162" t="s">
        <v>746</v>
      </c>
      <c r="C162" t="s">
        <v>746</v>
      </c>
      <c r="D162" t="s">
        <v>746</v>
      </c>
      <c r="E162" t="s">
        <v>183</v>
      </c>
      <c r="F162" t="s">
        <v>184</v>
      </c>
      <c r="H162" t="s">
        <v>747</v>
      </c>
      <c r="K162" t="s">
        <v>748</v>
      </c>
      <c r="L162" t="s">
        <v>744</v>
      </c>
      <c r="M162" t="s">
        <v>188</v>
      </c>
      <c r="N162" s="5" t="s">
        <v>749</v>
      </c>
    </row>
    <row r="163" spans="1:14">
      <c r="A163" t="s">
        <v>750</v>
      </c>
      <c r="B163" t="s">
        <v>750</v>
      </c>
      <c r="C163" t="s">
        <v>750</v>
      </c>
      <c r="D163" t="s">
        <v>750</v>
      </c>
      <c r="E163" t="s">
        <v>183</v>
      </c>
      <c r="F163" t="s">
        <v>184</v>
      </c>
      <c r="H163" t="s">
        <v>751</v>
      </c>
      <c r="K163" t="s">
        <v>752</v>
      </c>
      <c r="L163" t="s">
        <v>744</v>
      </c>
      <c r="M163" t="s">
        <v>188</v>
      </c>
      <c r="N163" s="5" t="s">
        <v>753</v>
      </c>
    </row>
    <row r="164" spans="1:14">
      <c r="A164" t="s">
        <v>754</v>
      </c>
      <c r="B164" t="s">
        <v>754</v>
      </c>
      <c r="C164" t="s">
        <v>754</v>
      </c>
      <c r="D164" t="s">
        <v>754</v>
      </c>
      <c r="E164" t="s">
        <v>183</v>
      </c>
      <c r="F164" t="s">
        <v>184</v>
      </c>
      <c r="H164" t="s">
        <v>755</v>
      </c>
      <c r="K164" t="s">
        <v>756</v>
      </c>
      <c r="L164" t="s">
        <v>757</v>
      </c>
      <c r="M164" t="s">
        <v>188</v>
      </c>
      <c r="N164" s="5" t="s">
        <v>758</v>
      </c>
    </row>
    <row r="165" spans="1:14">
      <c r="A165" t="s">
        <v>759</v>
      </c>
      <c r="B165" t="s">
        <v>759</v>
      </c>
      <c r="C165" t="s">
        <v>759</v>
      </c>
      <c r="D165" t="s">
        <v>759</v>
      </c>
      <c r="E165" t="s">
        <v>183</v>
      </c>
      <c r="F165" t="s">
        <v>184</v>
      </c>
      <c r="H165" t="s">
        <v>760</v>
      </c>
      <c r="K165" t="s">
        <v>761</v>
      </c>
      <c r="L165" t="s">
        <v>762</v>
      </c>
      <c r="M165" t="s">
        <v>188</v>
      </c>
      <c r="N165" s="5" t="s">
        <v>763</v>
      </c>
    </row>
    <row r="166" spans="1:14">
      <c r="A166" t="s">
        <v>764</v>
      </c>
      <c r="B166" t="s">
        <v>764</v>
      </c>
      <c r="C166" t="s">
        <v>764</v>
      </c>
      <c r="D166" t="s">
        <v>764</v>
      </c>
      <c r="E166" t="s">
        <v>183</v>
      </c>
      <c r="F166" t="s">
        <v>184</v>
      </c>
      <c r="H166" t="s">
        <v>765</v>
      </c>
      <c r="K166" t="s">
        <v>766</v>
      </c>
      <c r="L166" t="s">
        <v>762</v>
      </c>
      <c r="M166" t="s">
        <v>188</v>
      </c>
      <c r="N166" s="5" t="s">
        <v>767</v>
      </c>
    </row>
    <row r="167" spans="1:14">
      <c r="A167" t="s">
        <v>768</v>
      </c>
      <c r="B167" t="s">
        <v>768</v>
      </c>
      <c r="C167" t="s">
        <v>768</v>
      </c>
      <c r="D167" t="s">
        <v>768</v>
      </c>
      <c r="E167" t="s">
        <v>183</v>
      </c>
      <c r="F167" t="s">
        <v>184</v>
      </c>
      <c r="H167" t="s">
        <v>769</v>
      </c>
      <c r="K167" t="s">
        <v>770</v>
      </c>
      <c r="L167" t="s">
        <v>762</v>
      </c>
      <c r="M167" t="s">
        <v>188</v>
      </c>
      <c r="N167" s="5" t="s">
        <v>771</v>
      </c>
    </row>
    <row r="168" spans="1:14">
      <c r="A168" t="s">
        <v>772</v>
      </c>
      <c r="B168" t="s">
        <v>772</v>
      </c>
      <c r="C168" t="s">
        <v>772</v>
      </c>
      <c r="D168" t="s">
        <v>772</v>
      </c>
      <c r="E168" t="s">
        <v>183</v>
      </c>
      <c r="F168" t="s">
        <v>184</v>
      </c>
      <c r="H168" t="s">
        <v>773</v>
      </c>
      <c r="K168" t="s">
        <v>774</v>
      </c>
      <c r="L168" t="s">
        <v>762</v>
      </c>
      <c r="M168" t="s">
        <v>188</v>
      </c>
      <c r="N168" s="5" t="s">
        <v>775</v>
      </c>
    </row>
    <row r="169" spans="1:14">
      <c r="A169" t="s">
        <v>776</v>
      </c>
      <c r="B169" t="s">
        <v>776</v>
      </c>
      <c r="C169" t="s">
        <v>776</v>
      </c>
      <c r="D169" t="s">
        <v>776</v>
      </c>
      <c r="E169" t="s">
        <v>183</v>
      </c>
      <c r="F169" t="s">
        <v>184</v>
      </c>
      <c r="H169" t="s">
        <v>777</v>
      </c>
      <c r="K169" t="s">
        <v>778</v>
      </c>
      <c r="L169" t="s">
        <v>779</v>
      </c>
      <c r="M169" t="s">
        <v>188</v>
      </c>
      <c r="N169" s="5" t="s">
        <v>780</v>
      </c>
    </row>
    <row r="170" spans="1:14">
      <c r="A170" t="s">
        <v>781</v>
      </c>
      <c r="B170" t="s">
        <v>781</v>
      </c>
      <c r="C170" t="s">
        <v>781</v>
      </c>
      <c r="D170" t="s">
        <v>781</v>
      </c>
      <c r="E170" t="s">
        <v>183</v>
      </c>
      <c r="F170" t="s">
        <v>184</v>
      </c>
      <c r="H170" t="s">
        <v>782</v>
      </c>
      <c r="K170" t="s">
        <v>778</v>
      </c>
      <c r="L170" t="s">
        <v>779</v>
      </c>
      <c r="M170" t="s">
        <v>188</v>
      </c>
      <c r="N170" s="5" t="s">
        <v>780</v>
      </c>
    </row>
    <row r="171" spans="1:14">
      <c r="A171" t="s">
        <v>783</v>
      </c>
      <c r="B171" t="s">
        <v>783</v>
      </c>
      <c r="C171" t="s">
        <v>783</v>
      </c>
      <c r="D171" t="s">
        <v>783</v>
      </c>
      <c r="E171" t="s">
        <v>183</v>
      </c>
      <c r="F171" t="s">
        <v>184</v>
      </c>
      <c r="H171" t="s">
        <v>784</v>
      </c>
      <c r="K171" t="s">
        <v>785</v>
      </c>
      <c r="L171" t="s">
        <v>779</v>
      </c>
      <c r="M171" t="s">
        <v>188</v>
      </c>
      <c r="N171" s="5" t="s">
        <v>786</v>
      </c>
    </row>
    <row r="172" spans="1:14">
      <c r="A172" t="s">
        <v>787</v>
      </c>
      <c r="B172" t="s">
        <v>787</v>
      </c>
      <c r="C172" t="s">
        <v>787</v>
      </c>
      <c r="D172" t="s">
        <v>787</v>
      </c>
      <c r="E172" t="s">
        <v>183</v>
      </c>
      <c r="F172" t="s">
        <v>184</v>
      </c>
      <c r="H172" t="s">
        <v>788</v>
      </c>
      <c r="K172" t="s">
        <v>789</v>
      </c>
      <c r="L172" t="s">
        <v>779</v>
      </c>
      <c r="M172" t="s">
        <v>188</v>
      </c>
      <c r="N172" s="5" t="s">
        <v>790</v>
      </c>
    </row>
    <row r="173" spans="1:14">
      <c r="A173" t="s">
        <v>791</v>
      </c>
      <c r="B173" t="s">
        <v>791</v>
      </c>
      <c r="C173" t="s">
        <v>791</v>
      </c>
      <c r="D173" t="s">
        <v>791</v>
      </c>
      <c r="E173" t="s">
        <v>183</v>
      </c>
      <c r="F173" t="s">
        <v>184</v>
      </c>
      <c r="H173" t="s">
        <v>792</v>
      </c>
      <c r="K173" t="s">
        <v>793</v>
      </c>
      <c r="L173" t="s">
        <v>779</v>
      </c>
      <c r="M173" t="s">
        <v>188</v>
      </c>
      <c r="N173" s="5" t="s">
        <v>794</v>
      </c>
    </row>
    <row r="174" spans="1:14">
      <c r="A174" t="s">
        <v>795</v>
      </c>
      <c r="B174" t="s">
        <v>795</v>
      </c>
      <c r="C174" t="s">
        <v>795</v>
      </c>
      <c r="D174" t="s">
        <v>795</v>
      </c>
      <c r="E174" t="s">
        <v>183</v>
      </c>
      <c r="F174" t="s">
        <v>184</v>
      </c>
      <c r="H174" t="s">
        <v>796</v>
      </c>
      <c r="K174" t="s">
        <v>797</v>
      </c>
      <c r="L174" t="s">
        <v>779</v>
      </c>
      <c r="M174" t="s">
        <v>188</v>
      </c>
      <c r="N174" s="5" t="s">
        <v>798</v>
      </c>
    </row>
    <row r="175" spans="1:14">
      <c r="A175" t="s">
        <v>799</v>
      </c>
      <c r="B175" t="s">
        <v>799</v>
      </c>
      <c r="C175" t="s">
        <v>799</v>
      </c>
      <c r="D175" t="s">
        <v>799</v>
      </c>
      <c r="E175" t="s">
        <v>183</v>
      </c>
      <c r="F175" t="s">
        <v>184</v>
      </c>
      <c r="H175" t="s">
        <v>800</v>
      </c>
      <c r="K175" t="s">
        <v>797</v>
      </c>
      <c r="L175" t="s">
        <v>779</v>
      </c>
      <c r="M175" t="s">
        <v>188</v>
      </c>
      <c r="N175" s="5" t="s">
        <v>798</v>
      </c>
    </row>
    <row r="176" spans="1:14">
      <c r="A176" t="s">
        <v>801</v>
      </c>
      <c r="B176" t="s">
        <v>801</v>
      </c>
      <c r="C176" t="s">
        <v>801</v>
      </c>
      <c r="D176" t="s">
        <v>801</v>
      </c>
      <c r="E176" t="s">
        <v>183</v>
      </c>
      <c r="F176" t="s">
        <v>184</v>
      </c>
      <c r="H176" t="s">
        <v>802</v>
      </c>
      <c r="K176" t="s">
        <v>797</v>
      </c>
      <c r="L176" t="s">
        <v>779</v>
      </c>
      <c r="M176" t="s">
        <v>188</v>
      </c>
      <c r="N176" s="5" t="s">
        <v>798</v>
      </c>
    </row>
    <row r="177" spans="1:14">
      <c r="A177" t="s">
        <v>803</v>
      </c>
      <c r="B177" t="s">
        <v>803</v>
      </c>
      <c r="C177" t="s">
        <v>803</v>
      </c>
      <c r="D177" t="s">
        <v>803</v>
      </c>
      <c r="E177" t="s">
        <v>183</v>
      </c>
      <c r="F177" t="s">
        <v>184</v>
      </c>
      <c r="H177" t="s">
        <v>804</v>
      </c>
      <c r="K177" t="s">
        <v>805</v>
      </c>
      <c r="L177" t="s">
        <v>779</v>
      </c>
      <c r="M177" t="s">
        <v>188</v>
      </c>
      <c r="N177" s="5" t="s">
        <v>806</v>
      </c>
    </row>
    <row r="178" spans="1:14">
      <c r="A178" t="s">
        <v>807</v>
      </c>
      <c r="B178" t="s">
        <v>807</v>
      </c>
      <c r="C178" t="s">
        <v>807</v>
      </c>
      <c r="D178" t="s">
        <v>807</v>
      </c>
      <c r="E178" t="s">
        <v>183</v>
      </c>
      <c r="F178" t="s">
        <v>184</v>
      </c>
      <c r="H178" t="s">
        <v>808</v>
      </c>
      <c r="K178" t="s">
        <v>809</v>
      </c>
      <c r="L178" t="s">
        <v>779</v>
      </c>
      <c r="M178" t="s">
        <v>188</v>
      </c>
      <c r="N178" s="5" t="s">
        <v>810</v>
      </c>
    </row>
    <row r="179" spans="1:14">
      <c r="A179" t="s">
        <v>811</v>
      </c>
      <c r="B179" t="s">
        <v>811</v>
      </c>
      <c r="C179" t="s">
        <v>811</v>
      </c>
      <c r="D179" t="s">
        <v>811</v>
      </c>
      <c r="E179" t="s">
        <v>183</v>
      </c>
      <c r="F179" t="s">
        <v>184</v>
      </c>
      <c r="H179" t="s">
        <v>812</v>
      </c>
      <c r="K179" t="s">
        <v>813</v>
      </c>
      <c r="L179" t="s">
        <v>779</v>
      </c>
      <c r="M179" t="s">
        <v>188</v>
      </c>
      <c r="N179" s="5" t="s">
        <v>814</v>
      </c>
    </row>
    <row r="180" spans="1:14">
      <c r="A180" t="s">
        <v>815</v>
      </c>
      <c r="B180" t="s">
        <v>815</v>
      </c>
      <c r="C180" t="s">
        <v>815</v>
      </c>
      <c r="D180" t="s">
        <v>815</v>
      </c>
      <c r="E180" t="s">
        <v>183</v>
      </c>
      <c r="F180" t="s">
        <v>184</v>
      </c>
      <c r="H180" t="s">
        <v>816</v>
      </c>
      <c r="K180" t="s">
        <v>813</v>
      </c>
      <c r="L180" t="s">
        <v>779</v>
      </c>
      <c r="M180" t="s">
        <v>188</v>
      </c>
      <c r="N180" s="5" t="s">
        <v>814</v>
      </c>
    </row>
    <row r="181" spans="1:14">
      <c r="A181" t="s">
        <v>817</v>
      </c>
      <c r="B181" t="s">
        <v>817</v>
      </c>
      <c r="C181" t="s">
        <v>817</v>
      </c>
      <c r="D181" t="s">
        <v>817</v>
      </c>
      <c r="E181" t="s">
        <v>183</v>
      </c>
      <c r="F181" t="s">
        <v>184</v>
      </c>
      <c r="H181" t="s">
        <v>818</v>
      </c>
      <c r="K181" t="s">
        <v>819</v>
      </c>
      <c r="L181" t="s">
        <v>820</v>
      </c>
      <c r="M181" t="s">
        <v>188</v>
      </c>
      <c r="N181" s="5" t="s">
        <v>821</v>
      </c>
    </row>
    <row r="182" spans="1:14">
      <c r="A182" t="s">
        <v>822</v>
      </c>
      <c r="B182" t="s">
        <v>822</v>
      </c>
      <c r="C182" t="s">
        <v>822</v>
      </c>
      <c r="D182" t="s">
        <v>822</v>
      </c>
      <c r="E182" t="s">
        <v>183</v>
      </c>
      <c r="F182" t="s">
        <v>184</v>
      </c>
      <c r="H182" t="s">
        <v>823</v>
      </c>
      <c r="K182" t="s">
        <v>824</v>
      </c>
      <c r="L182" t="s">
        <v>820</v>
      </c>
      <c r="M182" t="s">
        <v>188</v>
      </c>
      <c r="N182" s="5" t="s">
        <v>825</v>
      </c>
    </row>
    <row r="183" spans="1:14">
      <c r="A183" t="s">
        <v>826</v>
      </c>
      <c r="B183" t="s">
        <v>826</v>
      </c>
      <c r="C183" t="s">
        <v>826</v>
      </c>
      <c r="D183" t="s">
        <v>826</v>
      </c>
      <c r="E183" t="s">
        <v>183</v>
      </c>
      <c r="F183" t="s">
        <v>184</v>
      </c>
      <c r="H183" t="s">
        <v>827</v>
      </c>
      <c r="K183" t="s">
        <v>828</v>
      </c>
      <c r="L183" t="s">
        <v>820</v>
      </c>
      <c r="M183" t="s">
        <v>188</v>
      </c>
      <c r="N183" s="5" t="s">
        <v>829</v>
      </c>
    </row>
    <row r="184" spans="1:14">
      <c r="A184" t="s">
        <v>830</v>
      </c>
      <c r="B184" t="s">
        <v>830</v>
      </c>
      <c r="C184" t="s">
        <v>830</v>
      </c>
      <c r="D184" t="s">
        <v>830</v>
      </c>
      <c r="E184" t="s">
        <v>183</v>
      </c>
      <c r="F184" t="s">
        <v>184</v>
      </c>
      <c r="H184" t="s">
        <v>831</v>
      </c>
      <c r="K184" t="s">
        <v>832</v>
      </c>
      <c r="L184" t="s">
        <v>820</v>
      </c>
      <c r="M184" t="s">
        <v>188</v>
      </c>
      <c r="N184" s="5" t="s">
        <v>833</v>
      </c>
    </row>
    <row r="185" spans="1:14">
      <c r="A185" t="s">
        <v>834</v>
      </c>
      <c r="B185" t="s">
        <v>834</v>
      </c>
      <c r="C185" t="s">
        <v>834</v>
      </c>
      <c r="D185" t="s">
        <v>834</v>
      </c>
      <c r="E185" t="s">
        <v>183</v>
      </c>
      <c r="F185" t="s">
        <v>184</v>
      </c>
      <c r="H185" t="s">
        <v>835</v>
      </c>
      <c r="K185" t="s">
        <v>836</v>
      </c>
      <c r="L185" t="s">
        <v>820</v>
      </c>
      <c r="M185" t="s">
        <v>188</v>
      </c>
      <c r="N185" s="5" t="s">
        <v>837</v>
      </c>
    </row>
    <row r="186" spans="1:14">
      <c r="A186" t="s">
        <v>838</v>
      </c>
      <c r="B186" t="s">
        <v>838</v>
      </c>
      <c r="C186" t="s">
        <v>838</v>
      </c>
      <c r="D186" t="s">
        <v>838</v>
      </c>
      <c r="E186" t="s">
        <v>183</v>
      </c>
      <c r="F186" t="s">
        <v>184</v>
      </c>
      <c r="H186" t="s">
        <v>839</v>
      </c>
      <c r="K186" t="s">
        <v>840</v>
      </c>
      <c r="L186" t="s">
        <v>820</v>
      </c>
      <c r="M186" t="s">
        <v>188</v>
      </c>
      <c r="N186" s="5" t="s">
        <v>841</v>
      </c>
    </row>
    <row r="187" spans="1:14">
      <c r="A187" t="s">
        <v>842</v>
      </c>
      <c r="B187" t="s">
        <v>842</v>
      </c>
      <c r="C187" t="s">
        <v>842</v>
      </c>
      <c r="D187" t="s">
        <v>842</v>
      </c>
      <c r="E187" t="s">
        <v>183</v>
      </c>
      <c r="F187" t="s">
        <v>184</v>
      </c>
      <c r="H187" t="s">
        <v>843</v>
      </c>
      <c r="K187" t="s">
        <v>844</v>
      </c>
      <c r="L187" t="s">
        <v>820</v>
      </c>
      <c r="M187" t="s">
        <v>188</v>
      </c>
      <c r="N187" s="5" t="s">
        <v>845</v>
      </c>
    </row>
    <row r="188" spans="1:14">
      <c r="A188" t="s">
        <v>846</v>
      </c>
      <c r="B188" t="s">
        <v>846</v>
      </c>
      <c r="C188" t="s">
        <v>846</v>
      </c>
      <c r="D188" t="s">
        <v>846</v>
      </c>
      <c r="E188" t="s">
        <v>183</v>
      </c>
      <c r="F188" t="s">
        <v>184</v>
      </c>
      <c r="H188" t="s">
        <v>847</v>
      </c>
      <c r="K188" t="s">
        <v>848</v>
      </c>
      <c r="L188" t="s">
        <v>820</v>
      </c>
      <c r="M188" t="s">
        <v>188</v>
      </c>
      <c r="N188" s="5" t="s">
        <v>849</v>
      </c>
    </row>
    <row r="189" spans="1:14">
      <c r="A189" t="s">
        <v>850</v>
      </c>
      <c r="B189" t="s">
        <v>850</v>
      </c>
      <c r="C189" t="s">
        <v>850</v>
      </c>
      <c r="D189" t="s">
        <v>850</v>
      </c>
      <c r="E189" t="s">
        <v>183</v>
      </c>
      <c r="F189" t="s">
        <v>184</v>
      </c>
      <c r="H189" t="s">
        <v>851</v>
      </c>
      <c r="K189" t="s">
        <v>852</v>
      </c>
      <c r="L189" t="s">
        <v>820</v>
      </c>
      <c r="M189" t="s">
        <v>188</v>
      </c>
      <c r="N189" s="5" t="s">
        <v>853</v>
      </c>
    </row>
    <row r="190" spans="1:14">
      <c r="A190" t="s">
        <v>854</v>
      </c>
      <c r="B190" t="s">
        <v>854</v>
      </c>
      <c r="C190" t="s">
        <v>854</v>
      </c>
      <c r="D190" t="s">
        <v>854</v>
      </c>
      <c r="E190" t="s">
        <v>183</v>
      </c>
      <c r="F190" t="s">
        <v>184</v>
      </c>
      <c r="H190" t="s">
        <v>851</v>
      </c>
      <c r="K190" t="s">
        <v>852</v>
      </c>
      <c r="L190" t="s">
        <v>820</v>
      </c>
      <c r="M190" t="s">
        <v>188</v>
      </c>
      <c r="N190" s="5" t="s">
        <v>853</v>
      </c>
    </row>
    <row r="191" spans="1:14">
      <c r="A191" t="s">
        <v>855</v>
      </c>
      <c r="B191" t="s">
        <v>855</v>
      </c>
      <c r="C191" t="s">
        <v>855</v>
      </c>
      <c r="D191" t="s">
        <v>855</v>
      </c>
      <c r="E191" t="s">
        <v>183</v>
      </c>
      <c r="F191" t="s">
        <v>184</v>
      </c>
      <c r="H191" t="s">
        <v>856</v>
      </c>
      <c r="K191" t="s">
        <v>857</v>
      </c>
      <c r="L191" t="s">
        <v>858</v>
      </c>
      <c r="M191" t="s">
        <v>188</v>
      </c>
      <c r="N191" s="5" t="s">
        <v>859</v>
      </c>
    </row>
    <row r="192" spans="1:14">
      <c r="A192" t="s">
        <v>860</v>
      </c>
      <c r="B192" t="s">
        <v>860</v>
      </c>
      <c r="C192" t="s">
        <v>860</v>
      </c>
      <c r="D192" t="s">
        <v>860</v>
      </c>
      <c r="E192" t="s">
        <v>183</v>
      </c>
      <c r="F192" t="s">
        <v>184</v>
      </c>
      <c r="H192" t="s">
        <v>861</v>
      </c>
      <c r="K192" t="s">
        <v>862</v>
      </c>
      <c r="L192" t="s">
        <v>858</v>
      </c>
      <c r="M192" t="s">
        <v>188</v>
      </c>
      <c r="N192" s="5" t="s">
        <v>863</v>
      </c>
    </row>
    <row r="193" spans="1:14">
      <c r="A193" t="s">
        <v>864</v>
      </c>
      <c r="B193" t="s">
        <v>864</v>
      </c>
      <c r="C193" t="s">
        <v>864</v>
      </c>
      <c r="D193" t="s">
        <v>864</v>
      </c>
      <c r="E193" t="s">
        <v>183</v>
      </c>
      <c r="F193" t="s">
        <v>184</v>
      </c>
      <c r="H193" t="s">
        <v>865</v>
      </c>
      <c r="K193" t="s">
        <v>866</v>
      </c>
      <c r="L193" t="s">
        <v>858</v>
      </c>
      <c r="M193" t="s">
        <v>188</v>
      </c>
      <c r="N193" s="5" t="s">
        <v>863</v>
      </c>
    </row>
    <row r="194" spans="1:14">
      <c r="A194" t="s">
        <v>867</v>
      </c>
      <c r="B194" t="s">
        <v>867</v>
      </c>
      <c r="C194" t="s">
        <v>867</v>
      </c>
      <c r="D194" t="s">
        <v>867</v>
      </c>
      <c r="E194" t="s">
        <v>183</v>
      </c>
      <c r="F194" t="s">
        <v>184</v>
      </c>
      <c r="H194" t="s">
        <v>868</v>
      </c>
      <c r="K194" t="s">
        <v>866</v>
      </c>
      <c r="L194" t="s">
        <v>858</v>
      </c>
      <c r="M194" t="s">
        <v>188</v>
      </c>
      <c r="N194" s="5" t="s">
        <v>863</v>
      </c>
    </row>
    <row r="195" spans="1:14">
      <c r="A195" t="s">
        <v>869</v>
      </c>
      <c r="B195" t="s">
        <v>869</v>
      </c>
      <c r="C195" t="s">
        <v>869</v>
      </c>
      <c r="D195" t="s">
        <v>869</v>
      </c>
      <c r="E195" t="s">
        <v>183</v>
      </c>
      <c r="F195" t="s">
        <v>184</v>
      </c>
      <c r="H195" t="s">
        <v>870</v>
      </c>
      <c r="K195" t="s">
        <v>866</v>
      </c>
      <c r="L195" t="s">
        <v>858</v>
      </c>
      <c r="M195" t="s">
        <v>188</v>
      </c>
      <c r="N195" s="5" t="s">
        <v>863</v>
      </c>
    </row>
    <row r="196" spans="1:14">
      <c r="A196" t="s">
        <v>871</v>
      </c>
      <c r="B196" t="s">
        <v>871</v>
      </c>
      <c r="C196" t="s">
        <v>871</v>
      </c>
      <c r="D196" t="s">
        <v>871</v>
      </c>
      <c r="E196" t="s">
        <v>183</v>
      </c>
      <c r="F196" t="s">
        <v>184</v>
      </c>
      <c r="H196" t="s">
        <v>872</v>
      </c>
      <c r="K196" t="s">
        <v>866</v>
      </c>
      <c r="L196" t="s">
        <v>858</v>
      </c>
      <c r="M196" t="s">
        <v>188</v>
      </c>
      <c r="N196" s="5" t="s">
        <v>863</v>
      </c>
    </row>
    <row r="197" spans="1:14">
      <c r="A197" t="s">
        <v>873</v>
      </c>
      <c r="B197" t="s">
        <v>873</v>
      </c>
      <c r="C197" t="s">
        <v>873</v>
      </c>
      <c r="D197" t="s">
        <v>873</v>
      </c>
      <c r="E197" t="s">
        <v>183</v>
      </c>
      <c r="F197" t="s">
        <v>184</v>
      </c>
      <c r="H197" t="s">
        <v>874</v>
      </c>
      <c r="K197" t="s">
        <v>875</v>
      </c>
      <c r="L197" t="s">
        <v>858</v>
      </c>
      <c r="M197" t="s">
        <v>188</v>
      </c>
      <c r="N197" s="5" t="s">
        <v>876</v>
      </c>
    </row>
    <row r="198" spans="1:14">
      <c r="A198" t="s">
        <v>877</v>
      </c>
      <c r="B198" t="s">
        <v>877</v>
      </c>
      <c r="C198" t="s">
        <v>877</v>
      </c>
      <c r="D198" t="s">
        <v>877</v>
      </c>
      <c r="E198" t="s">
        <v>183</v>
      </c>
      <c r="F198" t="s">
        <v>184</v>
      </c>
      <c r="H198" t="s">
        <v>878</v>
      </c>
      <c r="K198" t="s">
        <v>879</v>
      </c>
      <c r="L198" t="s">
        <v>858</v>
      </c>
      <c r="M198" t="s">
        <v>188</v>
      </c>
      <c r="N198" s="5" t="s">
        <v>880</v>
      </c>
    </row>
    <row r="199" spans="1:14">
      <c r="A199" t="s">
        <v>881</v>
      </c>
      <c r="B199" t="s">
        <v>881</v>
      </c>
      <c r="C199" t="s">
        <v>881</v>
      </c>
      <c r="D199" t="s">
        <v>881</v>
      </c>
      <c r="E199" t="s">
        <v>183</v>
      </c>
      <c r="F199" t="s">
        <v>184</v>
      </c>
      <c r="H199" t="s">
        <v>882</v>
      </c>
      <c r="K199" t="s">
        <v>879</v>
      </c>
      <c r="L199" t="s">
        <v>858</v>
      </c>
      <c r="M199" t="s">
        <v>188</v>
      </c>
      <c r="N199" s="5" t="s">
        <v>880</v>
      </c>
    </row>
    <row r="200" spans="1:14">
      <c r="A200" t="s">
        <v>883</v>
      </c>
      <c r="B200" t="s">
        <v>883</v>
      </c>
      <c r="C200" t="s">
        <v>883</v>
      </c>
      <c r="D200" t="s">
        <v>883</v>
      </c>
      <c r="E200" t="s">
        <v>183</v>
      </c>
      <c r="F200" t="s">
        <v>184</v>
      </c>
      <c r="H200" t="s">
        <v>884</v>
      </c>
      <c r="K200" t="s">
        <v>885</v>
      </c>
      <c r="L200" t="s">
        <v>858</v>
      </c>
      <c r="M200" t="s">
        <v>188</v>
      </c>
      <c r="N200" s="5" t="s">
        <v>886</v>
      </c>
    </row>
    <row r="201" spans="1:14">
      <c r="A201" t="s">
        <v>887</v>
      </c>
      <c r="B201" t="s">
        <v>887</v>
      </c>
      <c r="C201" t="s">
        <v>887</v>
      </c>
      <c r="D201" t="s">
        <v>887</v>
      </c>
      <c r="E201" t="s">
        <v>183</v>
      </c>
      <c r="F201" t="s">
        <v>184</v>
      </c>
      <c r="H201" t="s">
        <v>888</v>
      </c>
      <c r="K201" t="s">
        <v>889</v>
      </c>
      <c r="L201" t="s">
        <v>858</v>
      </c>
      <c r="M201" t="s">
        <v>188</v>
      </c>
      <c r="N201" s="5" t="s">
        <v>890</v>
      </c>
    </row>
    <row r="202" spans="1:14">
      <c r="A202" t="s">
        <v>891</v>
      </c>
      <c r="B202" t="s">
        <v>891</v>
      </c>
      <c r="C202" t="s">
        <v>891</v>
      </c>
      <c r="D202" t="s">
        <v>891</v>
      </c>
      <c r="E202" t="s">
        <v>183</v>
      </c>
      <c r="F202" t="s">
        <v>184</v>
      </c>
      <c r="H202" t="s">
        <v>892</v>
      </c>
      <c r="K202" t="s">
        <v>889</v>
      </c>
      <c r="L202" t="s">
        <v>858</v>
      </c>
      <c r="M202" t="s">
        <v>188</v>
      </c>
      <c r="N202" s="5" t="s">
        <v>890</v>
      </c>
    </row>
    <row r="203" spans="1:14">
      <c r="A203" t="s">
        <v>893</v>
      </c>
      <c r="B203" t="s">
        <v>893</v>
      </c>
      <c r="C203" t="s">
        <v>893</v>
      </c>
      <c r="D203" t="s">
        <v>893</v>
      </c>
      <c r="E203" t="s">
        <v>183</v>
      </c>
      <c r="F203" t="s">
        <v>184</v>
      </c>
      <c r="H203" t="s">
        <v>894</v>
      </c>
      <c r="K203" t="s">
        <v>889</v>
      </c>
      <c r="L203" t="s">
        <v>858</v>
      </c>
      <c r="M203" t="s">
        <v>188</v>
      </c>
      <c r="N203" s="5" t="s">
        <v>890</v>
      </c>
    </row>
    <row r="204" spans="1:14">
      <c r="A204" t="s">
        <v>895</v>
      </c>
      <c r="B204" t="s">
        <v>895</v>
      </c>
      <c r="C204" t="s">
        <v>895</v>
      </c>
      <c r="D204" t="s">
        <v>895</v>
      </c>
      <c r="E204" t="s">
        <v>183</v>
      </c>
      <c r="F204" t="s">
        <v>184</v>
      </c>
      <c r="H204" t="s">
        <v>896</v>
      </c>
      <c r="K204" t="s">
        <v>889</v>
      </c>
      <c r="L204" t="s">
        <v>858</v>
      </c>
      <c r="M204" t="s">
        <v>188</v>
      </c>
      <c r="N204" s="5" t="s">
        <v>890</v>
      </c>
    </row>
    <row r="205" spans="1:14">
      <c r="A205" t="s">
        <v>897</v>
      </c>
      <c r="B205" t="s">
        <v>897</v>
      </c>
      <c r="C205" t="s">
        <v>897</v>
      </c>
      <c r="D205" t="s">
        <v>897</v>
      </c>
      <c r="E205" t="s">
        <v>183</v>
      </c>
      <c r="F205" t="s">
        <v>184</v>
      </c>
      <c r="H205" t="s">
        <v>898</v>
      </c>
      <c r="K205" t="s">
        <v>899</v>
      </c>
      <c r="L205" t="s">
        <v>900</v>
      </c>
      <c r="M205" t="s">
        <v>188</v>
      </c>
      <c r="N205" s="5" t="s">
        <v>901</v>
      </c>
    </row>
    <row r="206" spans="1:14">
      <c r="A206" t="s">
        <v>902</v>
      </c>
      <c r="B206" t="s">
        <v>902</v>
      </c>
      <c r="C206" t="s">
        <v>902</v>
      </c>
      <c r="D206" t="s">
        <v>902</v>
      </c>
      <c r="E206" t="s">
        <v>183</v>
      </c>
      <c r="F206" t="s">
        <v>184</v>
      </c>
      <c r="H206" t="s">
        <v>903</v>
      </c>
      <c r="K206" t="s">
        <v>904</v>
      </c>
      <c r="L206" t="s">
        <v>900</v>
      </c>
      <c r="M206" t="s">
        <v>188</v>
      </c>
      <c r="N206" s="5" t="s">
        <v>905</v>
      </c>
    </row>
    <row r="207" spans="1:14">
      <c r="A207" t="s">
        <v>906</v>
      </c>
      <c r="B207" t="s">
        <v>906</v>
      </c>
      <c r="C207" t="s">
        <v>906</v>
      </c>
      <c r="D207" t="s">
        <v>906</v>
      </c>
      <c r="E207" t="s">
        <v>183</v>
      </c>
      <c r="F207" t="s">
        <v>184</v>
      </c>
      <c r="H207" t="s">
        <v>907</v>
      </c>
      <c r="K207" t="s">
        <v>908</v>
      </c>
      <c r="L207" t="s">
        <v>909</v>
      </c>
      <c r="M207" t="s">
        <v>188</v>
      </c>
      <c r="N207" s="5" t="s">
        <v>910</v>
      </c>
    </row>
    <row r="208" spans="1:14">
      <c r="A208" t="s">
        <v>911</v>
      </c>
      <c r="B208" t="s">
        <v>911</v>
      </c>
      <c r="C208" t="s">
        <v>911</v>
      </c>
      <c r="D208" t="s">
        <v>911</v>
      </c>
      <c r="E208" t="s">
        <v>183</v>
      </c>
      <c r="F208" t="s">
        <v>184</v>
      </c>
      <c r="H208" t="s">
        <v>912</v>
      </c>
      <c r="K208" t="s">
        <v>913</v>
      </c>
      <c r="L208" t="s">
        <v>909</v>
      </c>
      <c r="M208" t="s">
        <v>188</v>
      </c>
      <c r="N208" s="5" t="s">
        <v>914</v>
      </c>
    </row>
    <row r="209" spans="1:14">
      <c r="A209" t="s">
        <v>915</v>
      </c>
      <c r="B209" t="s">
        <v>915</v>
      </c>
      <c r="C209" t="s">
        <v>915</v>
      </c>
      <c r="D209" t="s">
        <v>915</v>
      </c>
      <c r="E209" t="s">
        <v>183</v>
      </c>
      <c r="F209" t="s">
        <v>184</v>
      </c>
      <c r="H209" t="s">
        <v>916</v>
      </c>
      <c r="K209" t="s">
        <v>917</v>
      </c>
      <c r="L209" t="s">
        <v>909</v>
      </c>
      <c r="M209" t="s">
        <v>188</v>
      </c>
      <c r="N209" s="5" t="s">
        <v>918</v>
      </c>
    </row>
    <row r="210" spans="1:14">
      <c r="A210" t="s">
        <v>919</v>
      </c>
      <c r="B210" t="s">
        <v>919</v>
      </c>
      <c r="C210" t="s">
        <v>919</v>
      </c>
      <c r="D210" t="s">
        <v>919</v>
      </c>
      <c r="E210" t="s">
        <v>183</v>
      </c>
      <c r="F210" t="s">
        <v>184</v>
      </c>
      <c r="H210" t="s">
        <v>920</v>
      </c>
      <c r="K210" t="s">
        <v>921</v>
      </c>
      <c r="L210" t="s">
        <v>909</v>
      </c>
      <c r="M210" t="s">
        <v>188</v>
      </c>
      <c r="N210" s="5" t="s">
        <v>922</v>
      </c>
    </row>
    <row r="211" spans="1:14">
      <c r="A211" t="s">
        <v>923</v>
      </c>
      <c r="B211" t="s">
        <v>923</v>
      </c>
      <c r="C211" t="s">
        <v>923</v>
      </c>
      <c r="D211" t="s">
        <v>923</v>
      </c>
      <c r="E211" t="s">
        <v>183</v>
      </c>
      <c r="F211" t="s">
        <v>184</v>
      </c>
      <c r="H211" t="s">
        <v>924</v>
      </c>
      <c r="K211" t="s">
        <v>925</v>
      </c>
      <c r="L211" t="s">
        <v>909</v>
      </c>
      <c r="M211" t="s">
        <v>188</v>
      </c>
      <c r="N211" s="5" t="s">
        <v>926</v>
      </c>
    </row>
    <row r="212" spans="1:14">
      <c r="A212" t="s">
        <v>927</v>
      </c>
      <c r="B212" t="s">
        <v>927</v>
      </c>
      <c r="C212" t="s">
        <v>927</v>
      </c>
      <c r="D212" t="s">
        <v>927</v>
      </c>
      <c r="E212" t="s">
        <v>183</v>
      </c>
      <c r="F212" t="s">
        <v>184</v>
      </c>
      <c r="H212" t="s">
        <v>928</v>
      </c>
      <c r="K212" t="s">
        <v>929</v>
      </c>
      <c r="L212" t="s">
        <v>909</v>
      </c>
      <c r="M212" t="s">
        <v>188</v>
      </c>
      <c r="N212" s="5" t="s">
        <v>930</v>
      </c>
    </row>
    <row r="213" spans="1:14">
      <c r="A213" t="s">
        <v>931</v>
      </c>
      <c r="B213" t="s">
        <v>931</v>
      </c>
      <c r="C213" t="s">
        <v>931</v>
      </c>
      <c r="D213" t="s">
        <v>931</v>
      </c>
      <c r="E213" t="s">
        <v>183</v>
      </c>
      <c r="F213" t="s">
        <v>184</v>
      </c>
      <c r="H213" t="s">
        <v>932</v>
      </c>
      <c r="K213" t="s">
        <v>933</v>
      </c>
      <c r="L213" t="s">
        <v>909</v>
      </c>
      <c r="M213" t="s">
        <v>188</v>
      </c>
      <c r="N213" s="5" t="s">
        <v>934</v>
      </c>
    </row>
    <row r="214" spans="1:14">
      <c r="A214" t="s">
        <v>935</v>
      </c>
      <c r="B214" t="s">
        <v>935</v>
      </c>
      <c r="C214" t="s">
        <v>935</v>
      </c>
      <c r="D214" t="s">
        <v>935</v>
      </c>
      <c r="E214" t="s">
        <v>183</v>
      </c>
      <c r="F214" t="s">
        <v>184</v>
      </c>
      <c r="H214" t="s">
        <v>936</v>
      </c>
      <c r="K214" t="s">
        <v>933</v>
      </c>
      <c r="L214" t="s">
        <v>909</v>
      </c>
      <c r="M214" t="s">
        <v>188</v>
      </c>
      <c r="N214" s="5" t="s">
        <v>934</v>
      </c>
    </row>
    <row r="215" spans="1:14">
      <c r="A215" t="s">
        <v>937</v>
      </c>
      <c r="B215" t="s">
        <v>937</v>
      </c>
      <c r="C215" t="s">
        <v>937</v>
      </c>
      <c r="D215" t="s">
        <v>937</v>
      </c>
      <c r="E215" t="s">
        <v>183</v>
      </c>
      <c r="F215" t="s">
        <v>184</v>
      </c>
      <c r="H215" t="s">
        <v>938</v>
      </c>
      <c r="K215" t="s">
        <v>939</v>
      </c>
      <c r="L215" t="s">
        <v>940</v>
      </c>
      <c r="M215" t="s">
        <v>188</v>
      </c>
      <c r="N215" s="5" t="s">
        <v>941</v>
      </c>
    </row>
    <row r="216" spans="1:14">
      <c r="A216" t="s">
        <v>942</v>
      </c>
      <c r="B216" t="s">
        <v>942</v>
      </c>
      <c r="C216" t="s">
        <v>942</v>
      </c>
      <c r="D216" t="s">
        <v>942</v>
      </c>
      <c r="E216" t="s">
        <v>183</v>
      </c>
      <c r="F216" t="s">
        <v>184</v>
      </c>
      <c r="H216" t="s">
        <v>938</v>
      </c>
      <c r="K216" t="s">
        <v>943</v>
      </c>
      <c r="L216" t="s">
        <v>940</v>
      </c>
      <c r="M216" t="s">
        <v>188</v>
      </c>
      <c r="N216" s="5" t="s">
        <v>941</v>
      </c>
    </row>
    <row r="217" spans="1:14">
      <c r="A217" t="s">
        <v>944</v>
      </c>
      <c r="B217" t="s">
        <v>944</v>
      </c>
      <c r="C217" t="s">
        <v>944</v>
      </c>
      <c r="D217" t="s">
        <v>944</v>
      </c>
      <c r="E217" t="s">
        <v>183</v>
      </c>
      <c r="F217" t="s">
        <v>184</v>
      </c>
      <c r="H217" t="s">
        <v>945</v>
      </c>
      <c r="K217" t="s">
        <v>946</v>
      </c>
      <c r="L217" t="s">
        <v>940</v>
      </c>
      <c r="M217" t="s">
        <v>188</v>
      </c>
      <c r="N217" s="5" t="s">
        <v>947</v>
      </c>
    </row>
    <row r="218" spans="1:14">
      <c r="A218" t="s">
        <v>948</v>
      </c>
      <c r="B218" t="s">
        <v>948</v>
      </c>
      <c r="C218" t="s">
        <v>948</v>
      </c>
      <c r="D218" t="s">
        <v>948</v>
      </c>
      <c r="E218" t="s">
        <v>183</v>
      </c>
      <c r="F218" t="s">
        <v>184</v>
      </c>
      <c r="H218" t="s">
        <v>949</v>
      </c>
      <c r="K218" t="s">
        <v>950</v>
      </c>
      <c r="L218" t="s">
        <v>951</v>
      </c>
      <c r="M218" t="s">
        <v>188</v>
      </c>
      <c r="N218" s="5" t="s">
        <v>952</v>
      </c>
    </row>
    <row r="219" spans="1:14">
      <c r="A219" t="s">
        <v>953</v>
      </c>
      <c r="B219" t="s">
        <v>953</v>
      </c>
      <c r="C219" t="s">
        <v>953</v>
      </c>
      <c r="D219" t="s">
        <v>953</v>
      </c>
      <c r="E219" t="s">
        <v>183</v>
      </c>
      <c r="F219" t="s">
        <v>184</v>
      </c>
      <c r="H219" t="s">
        <v>954</v>
      </c>
      <c r="K219" t="s">
        <v>955</v>
      </c>
      <c r="L219" t="s">
        <v>951</v>
      </c>
      <c r="M219" t="s">
        <v>188</v>
      </c>
      <c r="N219" s="5" t="s">
        <v>956</v>
      </c>
    </row>
    <row r="220" spans="1:14">
      <c r="A220" t="s">
        <v>957</v>
      </c>
      <c r="B220" t="s">
        <v>957</v>
      </c>
      <c r="C220" t="s">
        <v>957</v>
      </c>
      <c r="D220" t="s">
        <v>957</v>
      </c>
      <c r="E220" t="s">
        <v>183</v>
      </c>
      <c r="F220" t="s">
        <v>184</v>
      </c>
      <c r="H220" t="s">
        <v>958</v>
      </c>
      <c r="K220" t="s">
        <v>959</v>
      </c>
      <c r="L220" t="s">
        <v>951</v>
      </c>
      <c r="M220" t="s">
        <v>188</v>
      </c>
      <c r="N220" s="5" t="s">
        <v>960</v>
      </c>
    </row>
    <row r="221" spans="1:14">
      <c r="A221" t="s">
        <v>961</v>
      </c>
      <c r="B221" t="s">
        <v>961</v>
      </c>
      <c r="C221" t="s">
        <v>961</v>
      </c>
      <c r="D221" t="s">
        <v>961</v>
      </c>
      <c r="E221" t="s">
        <v>183</v>
      </c>
      <c r="F221" t="s">
        <v>184</v>
      </c>
      <c r="H221" t="s">
        <v>962</v>
      </c>
      <c r="K221" t="s">
        <v>959</v>
      </c>
      <c r="L221" t="s">
        <v>951</v>
      </c>
      <c r="M221" t="s">
        <v>188</v>
      </c>
      <c r="N221" s="5" t="s">
        <v>960</v>
      </c>
    </row>
    <row r="222" spans="1:14">
      <c r="A222" t="s">
        <v>963</v>
      </c>
      <c r="B222" t="s">
        <v>963</v>
      </c>
      <c r="C222" t="s">
        <v>963</v>
      </c>
      <c r="D222" t="s">
        <v>963</v>
      </c>
      <c r="E222" t="s">
        <v>183</v>
      </c>
      <c r="F222" t="s">
        <v>184</v>
      </c>
      <c r="H222" t="s">
        <v>964</v>
      </c>
      <c r="K222" t="s">
        <v>965</v>
      </c>
      <c r="L222" t="s">
        <v>951</v>
      </c>
      <c r="M222" t="s">
        <v>188</v>
      </c>
      <c r="N222" s="5" t="s">
        <v>966</v>
      </c>
    </row>
    <row r="223" spans="1:14">
      <c r="A223" t="s">
        <v>967</v>
      </c>
      <c r="B223" t="s">
        <v>967</v>
      </c>
      <c r="C223" t="s">
        <v>967</v>
      </c>
      <c r="D223" t="s">
        <v>967</v>
      </c>
      <c r="E223" t="s">
        <v>183</v>
      </c>
      <c r="F223" t="s">
        <v>184</v>
      </c>
      <c r="H223" t="s">
        <v>968</v>
      </c>
      <c r="K223" t="s">
        <v>969</v>
      </c>
      <c r="L223" t="s">
        <v>951</v>
      </c>
      <c r="M223" t="s">
        <v>188</v>
      </c>
      <c r="N223" s="5" t="s">
        <v>970</v>
      </c>
    </row>
    <row r="224" spans="1:14">
      <c r="A224" t="s">
        <v>971</v>
      </c>
      <c r="B224" t="s">
        <v>971</v>
      </c>
      <c r="C224" t="s">
        <v>971</v>
      </c>
      <c r="D224" t="s">
        <v>971</v>
      </c>
      <c r="E224" t="s">
        <v>183</v>
      </c>
      <c r="F224" t="s">
        <v>184</v>
      </c>
      <c r="H224" t="s">
        <v>972</v>
      </c>
      <c r="K224" t="s">
        <v>973</v>
      </c>
      <c r="L224" t="s">
        <v>951</v>
      </c>
      <c r="M224" t="s">
        <v>188</v>
      </c>
      <c r="N224" s="5" t="s">
        <v>974</v>
      </c>
    </row>
    <row r="225" spans="1:14">
      <c r="A225" t="s">
        <v>975</v>
      </c>
      <c r="B225" t="s">
        <v>975</v>
      </c>
      <c r="C225" t="s">
        <v>975</v>
      </c>
      <c r="D225" t="s">
        <v>975</v>
      </c>
      <c r="E225" t="s">
        <v>183</v>
      </c>
      <c r="F225" t="s">
        <v>184</v>
      </c>
      <c r="H225" t="s">
        <v>976</v>
      </c>
      <c r="K225" t="s">
        <v>977</v>
      </c>
      <c r="L225" t="s">
        <v>951</v>
      </c>
      <c r="M225" t="s">
        <v>188</v>
      </c>
      <c r="N225" s="5" t="s">
        <v>978</v>
      </c>
    </row>
    <row r="226" spans="1:14">
      <c r="A226" t="s">
        <v>979</v>
      </c>
      <c r="B226" t="s">
        <v>979</v>
      </c>
      <c r="C226" t="s">
        <v>979</v>
      </c>
      <c r="D226" t="s">
        <v>979</v>
      </c>
      <c r="E226" t="s">
        <v>183</v>
      </c>
      <c r="F226" t="s">
        <v>184</v>
      </c>
      <c r="H226" t="s">
        <v>980</v>
      </c>
      <c r="K226" t="s">
        <v>981</v>
      </c>
      <c r="L226" t="s">
        <v>951</v>
      </c>
      <c r="M226" t="s">
        <v>188</v>
      </c>
      <c r="N226" s="5" t="s">
        <v>982</v>
      </c>
    </row>
    <row r="227" spans="1:14">
      <c r="A227" t="s">
        <v>983</v>
      </c>
      <c r="B227" t="s">
        <v>983</v>
      </c>
      <c r="C227" t="s">
        <v>983</v>
      </c>
      <c r="D227" t="s">
        <v>983</v>
      </c>
      <c r="E227" t="s">
        <v>183</v>
      </c>
      <c r="F227" t="s">
        <v>184</v>
      </c>
      <c r="H227" t="s">
        <v>984</v>
      </c>
      <c r="K227" t="s">
        <v>985</v>
      </c>
      <c r="L227" t="s">
        <v>951</v>
      </c>
      <c r="M227" t="s">
        <v>188</v>
      </c>
      <c r="N227" s="5" t="s">
        <v>986</v>
      </c>
    </row>
    <row r="228" spans="1:14">
      <c r="A228" t="s">
        <v>987</v>
      </c>
      <c r="B228" t="s">
        <v>987</v>
      </c>
      <c r="C228" t="s">
        <v>987</v>
      </c>
      <c r="D228" t="s">
        <v>987</v>
      </c>
      <c r="E228" t="s">
        <v>183</v>
      </c>
      <c r="F228" t="s">
        <v>184</v>
      </c>
      <c r="H228" t="s">
        <v>988</v>
      </c>
      <c r="K228" t="s">
        <v>985</v>
      </c>
      <c r="L228" t="s">
        <v>951</v>
      </c>
      <c r="M228" t="s">
        <v>188</v>
      </c>
      <c r="N228" s="5" t="s">
        <v>986</v>
      </c>
    </row>
    <row r="229" spans="1:14">
      <c r="A229" t="s">
        <v>989</v>
      </c>
      <c r="B229" t="s">
        <v>989</v>
      </c>
      <c r="C229" t="s">
        <v>989</v>
      </c>
      <c r="D229" t="s">
        <v>989</v>
      </c>
      <c r="E229" t="s">
        <v>183</v>
      </c>
      <c r="F229" t="s">
        <v>184</v>
      </c>
      <c r="H229" t="s">
        <v>990</v>
      </c>
      <c r="K229" t="s">
        <v>991</v>
      </c>
      <c r="L229" t="s">
        <v>951</v>
      </c>
      <c r="M229" t="s">
        <v>188</v>
      </c>
      <c r="N229" s="5" t="s">
        <v>992</v>
      </c>
    </row>
    <row r="230" spans="1:14">
      <c r="A230" t="s">
        <v>993</v>
      </c>
      <c r="B230" t="s">
        <v>993</v>
      </c>
      <c r="C230" t="s">
        <v>993</v>
      </c>
      <c r="D230" t="s">
        <v>993</v>
      </c>
      <c r="E230" t="s">
        <v>183</v>
      </c>
      <c r="F230" t="s">
        <v>184</v>
      </c>
      <c r="H230" t="s">
        <v>994</v>
      </c>
      <c r="K230" t="s">
        <v>995</v>
      </c>
      <c r="L230" t="s">
        <v>951</v>
      </c>
      <c r="M230" t="s">
        <v>188</v>
      </c>
      <c r="N230" s="5" t="s">
        <v>992</v>
      </c>
    </row>
    <row r="231" spans="1:14">
      <c r="A231" t="s">
        <v>996</v>
      </c>
      <c r="B231" t="s">
        <v>996</v>
      </c>
      <c r="C231" t="s">
        <v>996</v>
      </c>
      <c r="D231" t="s">
        <v>996</v>
      </c>
      <c r="E231" t="s">
        <v>183</v>
      </c>
      <c r="F231" t="s">
        <v>184</v>
      </c>
      <c r="H231" t="s">
        <v>997</v>
      </c>
      <c r="K231" t="s">
        <v>991</v>
      </c>
      <c r="L231" t="s">
        <v>951</v>
      </c>
      <c r="M231" t="s">
        <v>188</v>
      </c>
      <c r="N231" s="5" t="s">
        <v>998</v>
      </c>
    </row>
    <row r="232" spans="1:14">
      <c r="A232" t="s">
        <v>999</v>
      </c>
      <c r="B232" t="s">
        <v>999</v>
      </c>
      <c r="C232" t="s">
        <v>999</v>
      </c>
      <c r="D232" t="s">
        <v>999</v>
      </c>
      <c r="E232" t="s">
        <v>183</v>
      </c>
      <c r="F232" t="s">
        <v>184</v>
      </c>
      <c r="H232" t="s">
        <v>1000</v>
      </c>
      <c r="K232" t="s">
        <v>1001</v>
      </c>
      <c r="L232" t="s">
        <v>1002</v>
      </c>
      <c r="M232" t="s">
        <v>188</v>
      </c>
      <c r="N232" s="5" t="s">
        <v>1003</v>
      </c>
    </row>
    <row r="233" spans="1:14">
      <c r="A233" t="s">
        <v>1004</v>
      </c>
      <c r="B233" t="s">
        <v>1004</v>
      </c>
      <c r="C233" t="s">
        <v>1004</v>
      </c>
      <c r="D233" t="s">
        <v>1004</v>
      </c>
      <c r="E233" t="s">
        <v>183</v>
      </c>
      <c r="F233" t="s">
        <v>184</v>
      </c>
      <c r="H233" t="s">
        <v>1005</v>
      </c>
      <c r="K233" t="s">
        <v>1006</v>
      </c>
      <c r="L233" t="s">
        <v>1002</v>
      </c>
      <c r="M233" t="s">
        <v>188</v>
      </c>
      <c r="N233" s="5" t="s">
        <v>1007</v>
      </c>
    </row>
    <row r="234" spans="1:14">
      <c r="A234" t="s">
        <v>1008</v>
      </c>
      <c r="B234" t="s">
        <v>1008</v>
      </c>
      <c r="C234" t="s">
        <v>1008</v>
      </c>
      <c r="D234" t="s">
        <v>1008</v>
      </c>
      <c r="E234" t="s">
        <v>183</v>
      </c>
      <c r="F234" t="s">
        <v>184</v>
      </c>
      <c r="H234" t="s">
        <v>1009</v>
      </c>
      <c r="K234" t="s">
        <v>1010</v>
      </c>
      <c r="L234" t="s">
        <v>1002</v>
      </c>
      <c r="M234" t="s">
        <v>188</v>
      </c>
      <c r="N234" s="5" t="s">
        <v>1011</v>
      </c>
    </row>
    <row r="235" spans="1:14">
      <c r="A235" t="s">
        <v>1012</v>
      </c>
      <c r="B235" t="s">
        <v>1012</v>
      </c>
      <c r="C235" t="s">
        <v>1012</v>
      </c>
      <c r="D235" t="s">
        <v>1012</v>
      </c>
      <c r="E235" t="s">
        <v>183</v>
      </c>
      <c r="F235" t="s">
        <v>184</v>
      </c>
      <c r="H235" t="s">
        <v>1013</v>
      </c>
      <c r="K235" t="s">
        <v>1014</v>
      </c>
      <c r="L235" t="s">
        <v>1002</v>
      </c>
      <c r="M235" t="s">
        <v>188</v>
      </c>
      <c r="N235" s="5" t="s">
        <v>1015</v>
      </c>
    </row>
    <row r="236" spans="1:14">
      <c r="A236" t="s">
        <v>1016</v>
      </c>
      <c r="B236" t="s">
        <v>1016</v>
      </c>
      <c r="C236" t="s">
        <v>1016</v>
      </c>
      <c r="D236" t="s">
        <v>1016</v>
      </c>
      <c r="E236" t="s">
        <v>183</v>
      </c>
      <c r="F236" t="s">
        <v>184</v>
      </c>
      <c r="H236" t="s">
        <v>1017</v>
      </c>
      <c r="K236" t="s">
        <v>1018</v>
      </c>
      <c r="L236" t="s">
        <v>1002</v>
      </c>
      <c r="M236" t="s">
        <v>188</v>
      </c>
      <c r="N236" s="5" t="s">
        <v>1019</v>
      </c>
    </row>
    <row r="237" spans="1:14">
      <c r="A237" t="s">
        <v>1020</v>
      </c>
      <c r="B237" t="s">
        <v>1020</v>
      </c>
      <c r="C237" t="s">
        <v>1020</v>
      </c>
      <c r="D237" t="s">
        <v>1020</v>
      </c>
      <c r="E237" t="s">
        <v>183</v>
      </c>
      <c r="F237" t="s">
        <v>184</v>
      </c>
      <c r="H237" t="s">
        <v>1021</v>
      </c>
      <c r="K237" t="s">
        <v>1018</v>
      </c>
      <c r="L237" t="s">
        <v>1002</v>
      </c>
      <c r="M237" t="s">
        <v>188</v>
      </c>
      <c r="N237" s="5" t="s">
        <v>1019</v>
      </c>
    </row>
    <row r="238" spans="1:14">
      <c r="A238" t="s">
        <v>1022</v>
      </c>
      <c r="B238" t="s">
        <v>1022</v>
      </c>
      <c r="C238" t="s">
        <v>1022</v>
      </c>
      <c r="D238" t="s">
        <v>1022</v>
      </c>
      <c r="E238" t="s">
        <v>183</v>
      </c>
      <c r="F238" t="s">
        <v>184</v>
      </c>
      <c r="H238" t="s">
        <v>1023</v>
      </c>
      <c r="K238" t="s">
        <v>1018</v>
      </c>
      <c r="L238" t="s">
        <v>1002</v>
      </c>
      <c r="M238" t="s">
        <v>188</v>
      </c>
      <c r="N238" s="5" t="s">
        <v>1019</v>
      </c>
    </row>
    <row r="239" spans="1:14">
      <c r="A239" t="s">
        <v>1024</v>
      </c>
      <c r="B239" t="s">
        <v>1024</v>
      </c>
      <c r="C239" t="s">
        <v>1024</v>
      </c>
      <c r="D239" t="s">
        <v>1024</v>
      </c>
      <c r="E239" t="s">
        <v>183</v>
      </c>
      <c r="F239" t="s">
        <v>184</v>
      </c>
      <c r="H239" t="s">
        <v>1025</v>
      </c>
      <c r="K239" t="s">
        <v>1026</v>
      </c>
      <c r="L239" t="s">
        <v>1002</v>
      </c>
      <c r="M239" t="s">
        <v>188</v>
      </c>
      <c r="N239" s="5" t="s">
        <v>1027</v>
      </c>
    </row>
    <row r="240" spans="1:14">
      <c r="A240" t="s">
        <v>1028</v>
      </c>
      <c r="B240" t="s">
        <v>1028</v>
      </c>
      <c r="C240" t="s">
        <v>1028</v>
      </c>
      <c r="D240" t="s">
        <v>1028</v>
      </c>
      <c r="E240" t="s">
        <v>183</v>
      </c>
      <c r="F240" t="s">
        <v>184</v>
      </c>
      <c r="H240" t="s">
        <v>1029</v>
      </c>
      <c r="K240" t="s">
        <v>1030</v>
      </c>
      <c r="L240" t="s">
        <v>1002</v>
      </c>
      <c r="M240" t="s">
        <v>188</v>
      </c>
      <c r="N240" s="5" t="s">
        <v>1031</v>
      </c>
    </row>
    <row r="241" spans="1:14">
      <c r="A241" t="s">
        <v>1032</v>
      </c>
      <c r="B241" t="s">
        <v>1032</v>
      </c>
      <c r="C241" t="s">
        <v>1032</v>
      </c>
      <c r="D241" t="s">
        <v>1032</v>
      </c>
      <c r="E241" t="s">
        <v>183</v>
      </c>
      <c r="F241" t="s">
        <v>184</v>
      </c>
      <c r="H241" t="s">
        <v>1033</v>
      </c>
      <c r="K241" t="s">
        <v>1034</v>
      </c>
      <c r="L241" t="s">
        <v>1002</v>
      </c>
      <c r="M241" t="s">
        <v>188</v>
      </c>
      <c r="N241" s="5" t="s">
        <v>1035</v>
      </c>
    </row>
    <row r="242" spans="1:14">
      <c r="A242" t="s">
        <v>1036</v>
      </c>
      <c r="B242" t="s">
        <v>1036</v>
      </c>
      <c r="C242" t="s">
        <v>1036</v>
      </c>
      <c r="D242" t="s">
        <v>1036</v>
      </c>
      <c r="E242" t="s">
        <v>183</v>
      </c>
      <c r="F242" t="s">
        <v>184</v>
      </c>
      <c r="H242" t="s">
        <v>1037</v>
      </c>
      <c r="K242" t="s">
        <v>1038</v>
      </c>
      <c r="L242" t="s">
        <v>1039</v>
      </c>
      <c r="M242" t="s">
        <v>188</v>
      </c>
      <c r="N242" s="5" t="s">
        <v>1040</v>
      </c>
    </row>
    <row r="243" spans="1:14">
      <c r="A243" t="s">
        <v>1041</v>
      </c>
      <c r="B243" t="s">
        <v>1041</v>
      </c>
      <c r="C243" t="s">
        <v>1041</v>
      </c>
      <c r="D243" t="s">
        <v>1041</v>
      </c>
      <c r="E243" t="s">
        <v>183</v>
      </c>
      <c r="F243" t="s">
        <v>184</v>
      </c>
      <c r="H243" t="s">
        <v>1042</v>
      </c>
      <c r="K243" t="s">
        <v>1043</v>
      </c>
      <c r="L243" t="s">
        <v>1039</v>
      </c>
      <c r="M243" t="s">
        <v>188</v>
      </c>
      <c r="N243" s="5" t="s">
        <v>1044</v>
      </c>
    </row>
    <row r="244" spans="1:14">
      <c r="A244" t="s">
        <v>1045</v>
      </c>
      <c r="B244" t="s">
        <v>1045</v>
      </c>
      <c r="C244" t="s">
        <v>1045</v>
      </c>
      <c r="D244" t="s">
        <v>1045</v>
      </c>
      <c r="E244" t="s">
        <v>183</v>
      </c>
      <c r="F244" t="s">
        <v>184</v>
      </c>
      <c r="H244" t="s">
        <v>1046</v>
      </c>
      <c r="K244" t="s">
        <v>1047</v>
      </c>
      <c r="L244" t="s">
        <v>1048</v>
      </c>
      <c r="M244" t="s">
        <v>188</v>
      </c>
      <c r="N244" s="5" t="s">
        <v>1049</v>
      </c>
    </row>
    <row r="245" spans="1:14">
      <c r="A245" t="s">
        <v>1050</v>
      </c>
      <c r="B245" t="s">
        <v>1050</v>
      </c>
      <c r="C245" t="s">
        <v>1050</v>
      </c>
      <c r="D245" t="s">
        <v>1050</v>
      </c>
      <c r="E245" t="s">
        <v>183</v>
      </c>
      <c r="F245" t="s">
        <v>184</v>
      </c>
      <c r="H245" t="s">
        <v>1051</v>
      </c>
      <c r="K245" t="s">
        <v>1052</v>
      </c>
      <c r="L245" t="s">
        <v>1048</v>
      </c>
      <c r="M245" t="s">
        <v>188</v>
      </c>
      <c r="N245" s="5" t="s">
        <v>1049</v>
      </c>
    </row>
    <row r="246" spans="1:14">
      <c r="A246" t="s">
        <v>1053</v>
      </c>
      <c r="B246" t="s">
        <v>1053</v>
      </c>
      <c r="C246" t="s">
        <v>1053</v>
      </c>
      <c r="D246" t="s">
        <v>1053</v>
      </c>
      <c r="E246" t="s">
        <v>183</v>
      </c>
      <c r="F246" t="s">
        <v>184</v>
      </c>
      <c r="H246" t="s">
        <v>1054</v>
      </c>
      <c r="K246" t="s">
        <v>1055</v>
      </c>
      <c r="L246" t="s">
        <v>1048</v>
      </c>
      <c r="M246" t="s">
        <v>188</v>
      </c>
      <c r="N246" s="5" t="s">
        <v>1056</v>
      </c>
    </row>
    <row r="247" spans="1:14">
      <c r="A247" t="s">
        <v>1057</v>
      </c>
      <c r="B247" t="s">
        <v>1057</v>
      </c>
      <c r="C247" t="s">
        <v>1057</v>
      </c>
      <c r="D247" t="s">
        <v>1057</v>
      </c>
      <c r="E247" t="s">
        <v>183</v>
      </c>
      <c r="F247" t="s">
        <v>184</v>
      </c>
      <c r="H247" t="s">
        <v>1058</v>
      </c>
      <c r="K247" t="s">
        <v>1059</v>
      </c>
      <c r="L247" t="s">
        <v>1048</v>
      </c>
      <c r="M247" t="s">
        <v>188</v>
      </c>
      <c r="N247" s="5" t="s">
        <v>1060</v>
      </c>
    </row>
    <row r="248" spans="1:14">
      <c r="A248" t="s">
        <v>1061</v>
      </c>
      <c r="B248" t="s">
        <v>1061</v>
      </c>
      <c r="C248" t="s">
        <v>1061</v>
      </c>
      <c r="D248" t="s">
        <v>1061</v>
      </c>
      <c r="E248" t="s">
        <v>183</v>
      </c>
      <c r="F248" t="s">
        <v>184</v>
      </c>
      <c r="H248" t="s">
        <v>1062</v>
      </c>
      <c r="K248" t="s">
        <v>1063</v>
      </c>
      <c r="L248" t="s">
        <v>1048</v>
      </c>
      <c r="M248" t="s">
        <v>188</v>
      </c>
      <c r="N248" s="5" t="s">
        <v>1064</v>
      </c>
    </row>
    <row r="249" spans="1:14">
      <c r="A249" t="s">
        <v>1065</v>
      </c>
      <c r="B249" t="s">
        <v>1065</v>
      </c>
      <c r="C249" t="s">
        <v>1065</v>
      </c>
      <c r="D249" t="s">
        <v>1065</v>
      </c>
      <c r="E249" t="s">
        <v>183</v>
      </c>
      <c r="F249" t="s">
        <v>184</v>
      </c>
      <c r="H249" t="s">
        <v>1066</v>
      </c>
      <c r="K249" t="s">
        <v>1067</v>
      </c>
      <c r="L249" t="s">
        <v>1068</v>
      </c>
      <c r="M249" t="s">
        <v>188</v>
      </c>
      <c r="N249" s="5" t="s">
        <v>1069</v>
      </c>
    </row>
    <row r="250" spans="1:14">
      <c r="A250" t="s">
        <v>1070</v>
      </c>
      <c r="B250" t="s">
        <v>1070</v>
      </c>
      <c r="C250" t="s">
        <v>1070</v>
      </c>
      <c r="D250" t="s">
        <v>1070</v>
      </c>
      <c r="E250" t="s">
        <v>183</v>
      </c>
      <c r="F250" t="s">
        <v>184</v>
      </c>
      <c r="H250" t="s">
        <v>1071</v>
      </c>
      <c r="K250" t="s">
        <v>1072</v>
      </c>
      <c r="L250" t="s">
        <v>1068</v>
      </c>
      <c r="M250" t="s">
        <v>188</v>
      </c>
      <c r="N250" s="5" t="s">
        <v>1073</v>
      </c>
    </row>
    <row r="251" spans="1:14">
      <c r="A251" t="s">
        <v>1074</v>
      </c>
      <c r="B251" t="s">
        <v>1074</v>
      </c>
      <c r="C251" t="s">
        <v>1074</v>
      </c>
      <c r="D251" t="s">
        <v>1074</v>
      </c>
      <c r="E251" t="s">
        <v>183</v>
      </c>
      <c r="F251" t="s">
        <v>184</v>
      </c>
      <c r="H251" t="s">
        <v>1075</v>
      </c>
      <c r="K251" t="s">
        <v>1072</v>
      </c>
      <c r="L251" t="s">
        <v>1068</v>
      </c>
      <c r="M251" t="s">
        <v>188</v>
      </c>
      <c r="N251" s="5" t="s">
        <v>1073</v>
      </c>
    </row>
    <row r="252" spans="1:14">
      <c r="A252" t="s">
        <v>1076</v>
      </c>
      <c r="B252" t="s">
        <v>1076</v>
      </c>
      <c r="C252" t="s">
        <v>1076</v>
      </c>
      <c r="D252" t="s">
        <v>1076</v>
      </c>
      <c r="E252" t="s">
        <v>183</v>
      </c>
      <c r="F252" t="s">
        <v>184</v>
      </c>
      <c r="H252" t="s">
        <v>1077</v>
      </c>
      <c r="K252" t="s">
        <v>1078</v>
      </c>
      <c r="L252" t="s">
        <v>1068</v>
      </c>
      <c r="M252" t="s">
        <v>188</v>
      </c>
      <c r="N252" s="5" t="s">
        <v>1079</v>
      </c>
    </row>
    <row r="253" spans="1:14">
      <c r="A253" t="s">
        <v>1080</v>
      </c>
      <c r="B253" t="s">
        <v>1080</v>
      </c>
      <c r="C253" t="s">
        <v>1080</v>
      </c>
      <c r="D253" t="s">
        <v>1080</v>
      </c>
      <c r="E253" t="s">
        <v>183</v>
      </c>
      <c r="F253" t="s">
        <v>184</v>
      </c>
      <c r="H253" t="s">
        <v>1081</v>
      </c>
      <c r="K253" t="s">
        <v>1082</v>
      </c>
      <c r="L253" t="s">
        <v>1068</v>
      </c>
      <c r="M253" t="s">
        <v>188</v>
      </c>
      <c r="N253" s="5" t="s">
        <v>1083</v>
      </c>
    </row>
    <row r="254" spans="1:14">
      <c r="A254" t="s">
        <v>1084</v>
      </c>
      <c r="B254" t="s">
        <v>1084</v>
      </c>
      <c r="C254" t="s">
        <v>1084</v>
      </c>
      <c r="D254" t="s">
        <v>1084</v>
      </c>
      <c r="E254" t="s">
        <v>183</v>
      </c>
      <c r="F254" t="s">
        <v>184</v>
      </c>
      <c r="H254" t="s">
        <v>1085</v>
      </c>
      <c r="K254" t="s">
        <v>1086</v>
      </c>
      <c r="L254" t="s">
        <v>1068</v>
      </c>
      <c r="M254" t="s">
        <v>188</v>
      </c>
      <c r="N254" s="5" t="s">
        <v>1087</v>
      </c>
    </row>
    <row r="255" spans="1:14">
      <c r="A255" t="s">
        <v>1088</v>
      </c>
      <c r="B255" t="s">
        <v>1088</v>
      </c>
      <c r="C255" t="s">
        <v>1088</v>
      </c>
      <c r="D255" t="s">
        <v>1088</v>
      </c>
      <c r="E255" t="s">
        <v>183</v>
      </c>
      <c r="F255" t="s">
        <v>184</v>
      </c>
      <c r="H255" t="s">
        <v>1089</v>
      </c>
      <c r="K255" t="s">
        <v>1090</v>
      </c>
      <c r="L255" t="s">
        <v>1091</v>
      </c>
      <c r="M255" t="s">
        <v>188</v>
      </c>
      <c r="N255" s="5" t="s">
        <v>1092</v>
      </c>
    </row>
    <row r="256" spans="1:14">
      <c r="A256" t="s">
        <v>1093</v>
      </c>
      <c r="B256" t="s">
        <v>1093</v>
      </c>
      <c r="C256" t="s">
        <v>1093</v>
      </c>
      <c r="D256" t="s">
        <v>1093</v>
      </c>
      <c r="E256" t="s">
        <v>183</v>
      </c>
      <c r="F256" t="s">
        <v>184</v>
      </c>
      <c r="H256" t="s">
        <v>1094</v>
      </c>
      <c r="K256" t="s">
        <v>1095</v>
      </c>
      <c r="L256" t="s">
        <v>1091</v>
      </c>
      <c r="M256" t="s">
        <v>188</v>
      </c>
      <c r="N256" s="5" t="s">
        <v>1096</v>
      </c>
    </row>
    <row r="257" spans="1:14">
      <c r="A257" t="s">
        <v>1097</v>
      </c>
      <c r="B257" t="s">
        <v>1097</v>
      </c>
      <c r="C257" t="s">
        <v>1097</v>
      </c>
      <c r="D257" t="s">
        <v>1097</v>
      </c>
      <c r="E257" t="s">
        <v>183</v>
      </c>
      <c r="F257" t="s">
        <v>184</v>
      </c>
      <c r="H257" t="s">
        <v>1098</v>
      </c>
      <c r="K257" t="s">
        <v>1099</v>
      </c>
      <c r="L257" t="s">
        <v>1091</v>
      </c>
      <c r="M257" t="s">
        <v>188</v>
      </c>
      <c r="N257" s="5" t="s">
        <v>1100</v>
      </c>
    </row>
    <row r="258" spans="1:14">
      <c r="A258" t="s">
        <v>1101</v>
      </c>
      <c r="B258" t="s">
        <v>1101</v>
      </c>
      <c r="C258" t="s">
        <v>1101</v>
      </c>
      <c r="D258" t="s">
        <v>1101</v>
      </c>
      <c r="E258" t="s">
        <v>183</v>
      </c>
      <c r="F258" t="s">
        <v>184</v>
      </c>
      <c r="H258" t="s">
        <v>1102</v>
      </c>
      <c r="K258" t="s">
        <v>1103</v>
      </c>
      <c r="L258" t="s">
        <v>1091</v>
      </c>
      <c r="M258" t="s">
        <v>188</v>
      </c>
      <c r="N258" s="5" t="s">
        <v>1104</v>
      </c>
    </row>
    <row r="259" spans="1:14">
      <c r="A259" t="s">
        <v>1105</v>
      </c>
      <c r="B259" t="s">
        <v>1105</v>
      </c>
      <c r="C259" t="s">
        <v>1105</v>
      </c>
      <c r="D259" t="s">
        <v>1105</v>
      </c>
      <c r="E259" t="s">
        <v>183</v>
      </c>
      <c r="F259" t="s">
        <v>184</v>
      </c>
      <c r="H259" t="s">
        <v>1106</v>
      </c>
      <c r="K259" t="s">
        <v>1107</v>
      </c>
      <c r="L259" t="s">
        <v>1091</v>
      </c>
      <c r="M259" t="s">
        <v>188</v>
      </c>
      <c r="N259" s="5" t="s">
        <v>1104</v>
      </c>
    </row>
    <row r="260" spans="1:14">
      <c r="A260" t="s">
        <v>1108</v>
      </c>
      <c r="B260" t="s">
        <v>1108</v>
      </c>
      <c r="C260" t="s">
        <v>1108</v>
      </c>
      <c r="D260" t="s">
        <v>1108</v>
      </c>
      <c r="E260" t="s">
        <v>183</v>
      </c>
      <c r="F260" t="s">
        <v>184</v>
      </c>
      <c r="H260" t="s">
        <v>1109</v>
      </c>
      <c r="K260" t="s">
        <v>1110</v>
      </c>
      <c r="L260" t="s">
        <v>1068</v>
      </c>
      <c r="M260" t="s">
        <v>188</v>
      </c>
      <c r="N260" s="5" t="s">
        <v>1111</v>
      </c>
    </row>
    <row r="261" spans="1:14">
      <c r="A261" t="s">
        <v>1112</v>
      </c>
      <c r="B261" t="s">
        <v>1112</v>
      </c>
      <c r="C261" t="s">
        <v>1112</v>
      </c>
      <c r="D261" t="s">
        <v>1112</v>
      </c>
      <c r="E261" t="s">
        <v>183</v>
      </c>
      <c r="F261" t="s">
        <v>184</v>
      </c>
      <c r="H261" t="s">
        <v>1113</v>
      </c>
      <c r="K261" t="s">
        <v>1114</v>
      </c>
      <c r="L261" t="s">
        <v>1115</v>
      </c>
      <c r="M261" t="s">
        <v>188</v>
      </c>
      <c r="N261" s="5" t="s">
        <v>1116</v>
      </c>
    </row>
    <row r="262" spans="1:14">
      <c r="A262" t="s">
        <v>1117</v>
      </c>
      <c r="B262" t="s">
        <v>1117</v>
      </c>
      <c r="C262" t="s">
        <v>1117</v>
      </c>
      <c r="D262" t="s">
        <v>1117</v>
      </c>
      <c r="E262" t="s">
        <v>183</v>
      </c>
      <c r="F262" t="s">
        <v>184</v>
      </c>
      <c r="H262" t="s">
        <v>1118</v>
      </c>
      <c r="K262" t="s">
        <v>1114</v>
      </c>
      <c r="L262" t="s">
        <v>1115</v>
      </c>
      <c r="M262" t="s">
        <v>188</v>
      </c>
      <c r="N262" s="5" t="s">
        <v>1116</v>
      </c>
    </row>
    <row r="263" spans="1:14">
      <c r="A263" t="s">
        <v>1119</v>
      </c>
      <c r="B263" t="s">
        <v>1119</v>
      </c>
      <c r="C263" t="s">
        <v>1119</v>
      </c>
      <c r="D263" t="s">
        <v>1119</v>
      </c>
      <c r="E263" t="s">
        <v>183</v>
      </c>
      <c r="F263" t="s">
        <v>184</v>
      </c>
      <c r="H263" t="s">
        <v>1120</v>
      </c>
      <c r="K263" t="s">
        <v>1121</v>
      </c>
      <c r="L263" t="s">
        <v>1115</v>
      </c>
      <c r="M263" t="s">
        <v>188</v>
      </c>
      <c r="N263" s="5" t="s">
        <v>1116</v>
      </c>
    </row>
    <row r="264" spans="1:14">
      <c r="A264" t="s">
        <v>1122</v>
      </c>
      <c r="B264" t="s">
        <v>1122</v>
      </c>
      <c r="C264" t="s">
        <v>1122</v>
      </c>
      <c r="D264" t="s">
        <v>1122</v>
      </c>
      <c r="E264" t="s">
        <v>183</v>
      </c>
      <c r="F264" t="s">
        <v>184</v>
      </c>
      <c r="H264" t="s">
        <v>1123</v>
      </c>
      <c r="K264" t="s">
        <v>1124</v>
      </c>
      <c r="L264" t="s">
        <v>1115</v>
      </c>
      <c r="M264" t="s">
        <v>188</v>
      </c>
      <c r="N264" s="5" t="s">
        <v>1125</v>
      </c>
    </row>
    <row r="265" spans="1:14">
      <c r="A265" t="s">
        <v>1126</v>
      </c>
      <c r="B265" t="s">
        <v>1126</v>
      </c>
      <c r="C265" t="s">
        <v>1126</v>
      </c>
      <c r="D265" t="s">
        <v>1126</v>
      </c>
      <c r="E265" t="s">
        <v>183</v>
      </c>
      <c r="F265" t="s">
        <v>184</v>
      </c>
      <c r="H265" t="s">
        <v>1127</v>
      </c>
      <c r="K265" t="s">
        <v>1124</v>
      </c>
      <c r="L265" t="s">
        <v>1115</v>
      </c>
      <c r="M265" t="s">
        <v>188</v>
      </c>
      <c r="N265" s="5" t="s">
        <v>1125</v>
      </c>
    </row>
    <row r="266" spans="1:14">
      <c r="A266" t="s">
        <v>1128</v>
      </c>
      <c r="B266" t="s">
        <v>1128</v>
      </c>
      <c r="C266" t="s">
        <v>1128</v>
      </c>
      <c r="D266" t="s">
        <v>1128</v>
      </c>
      <c r="E266" t="s">
        <v>183</v>
      </c>
      <c r="F266" t="s">
        <v>184</v>
      </c>
      <c r="H266" t="s">
        <v>1129</v>
      </c>
      <c r="K266" t="s">
        <v>1130</v>
      </c>
      <c r="L266" t="s">
        <v>1131</v>
      </c>
      <c r="M266" t="s">
        <v>188</v>
      </c>
      <c r="N266" s="5" t="s">
        <v>1132</v>
      </c>
    </row>
    <row r="267" spans="1:14">
      <c r="A267" t="s">
        <v>1133</v>
      </c>
      <c r="B267" t="s">
        <v>1133</v>
      </c>
      <c r="C267" t="s">
        <v>1133</v>
      </c>
      <c r="D267" t="s">
        <v>1133</v>
      </c>
      <c r="E267" t="s">
        <v>183</v>
      </c>
      <c r="F267" t="s">
        <v>184</v>
      </c>
      <c r="H267" t="s">
        <v>1134</v>
      </c>
      <c r="K267" t="s">
        <v>1135</v>
      </c>
      <c r="L267" t="s">
        <v>1131</v>
      </c>
      <c r="M267" t="s">
        <v>188</v>
      </c>
      <c r="N267" s="5" t="s">
        <v>1136</v>
      </c>
    </row>
    <row r="268" spans="1:14">
      <c r="A268" t="s">
        <v>1137</v>
      </c>
      <c r="B268" t="s">
        <v>1137</v>
      </c>
      <c r="C268" t="s">
        <v>1137</v>
      </c>
      <c r="D268" t="s">
        <v>1137</v>
      </c>
      <c r="E268" t="s">
        <v>183</v>
      </c>
      <c r="F268" t="s">
        <v>184</v>
      </c>
      <c r="H268" t="s">
        <v>1138</v>
      </c>
      <c r="K268" t="s">
        <v>1139</v>
      </c>
      <c r="L268" t="s">
        <v>1131</v>
      </c>
      <c r="M268" t="s">
        <v>188</v>
      </c>
      <c r="N268" s="5" t="s">
        <v>1140</v>
      </c>
    </row>
    <row r="269" spans="1:14">
      <c r="A269" t="s">
        <v>1141</v>
      </c>
      <c r="B269" t="s">
        <v>1141</v>
      </c>
      <c r="C269" t="s">
        <v>1141</v>
      </c>
      <c r="D269" t="s">
        <v>1141</v>
      </c>
      <c r="E269" t="s">
        <v>183</v>
      </c>
      <c r="F269" t="s">
        <v>184</v>
      </c>
      <c r="H269" t="s">
        <v>1142</v>
      </c>
      <c r="K269" t="s">
        <v>1143</v>
      </c>
      <c r="L269" t="s">
        <v>1131</v>
      </c>
      <c r="M269" t="s">
        <v>188</v>
      </c>
      <c r="N269" s="5" t="s">
        <v>1144</v>
      </c>
    </row>
    <row r="270" spans="1:14">
      <c r="A270" t="s">
        <v>1145</v>
      </c>
      <c r="B270" t="s">
        <v>1145</v>
      </c>
      <c r="C270" t="s">
        <v>1145</v>
      </c>
      <c r="D270" t="s">
        <v>1145</v>
      </c>
      <c r="E270" t="s">
        <v>183</v>
      </c>
      <c r="F270" t="s">
        <v>184</v>
      </c>
      <c r="H270" t="s">
        <v>1146</v>
      </c>
      <c r="K270" t="s">
        <v>1147</v>
      </c>
      <c r="L270" t="s">
        <v>1131</v>
      </c>
      <c r="M270" t="s">
        <v>188</v>
      </c>
      <c r="N270" s="5" t="s">
        <v>1148</v>
      </c>
    </row>
    <row r="271" spans="1:14">
      <c r="A271" t="s">
        <v>1149</v>
      </c>
      <c r="B271" t="s">
        <v>1149</v>
      </c>
      <c r="C271" t="s">
        <v>1149</v>
      </c>
      <c r="D271" t="s">
        <v>1149</v>
      </c>
      <c r="E271" t="s">
        <v>183</v>
      </c>
      <c r="F271" t="s">
        <v>184</v>
      </c>
      <c r="H271" t="s">
        <v>1150</v>
      </c>
      <c r="K271" t="s">
        <v>1151</v>
      </c>
      <c r="L271" t="s">
        <v>1131</v>
      </c>
      <c r="M271" t="s">
        <v>188</v>
      </c>
      <c r="N271" s="5" t="s">
        <v>1152</v>
      </c>
    </row>
    <row r="272" spans="1:14">
      <c r="A272" t="s">
        <v>1153</v>
      </c>
      <c r="B272" t="s">
        <v>1153</v>
      </c>
      <c r="C272" t="s">
        <v>1153</v>
      </c>
      <c r="D272" t="s">
        <v>1153</v>
      </c>
      <c r="E272" t="s">
        <v>183</v>
      </c>
      <c r="F272" t="s">
        <v>184</v>
      </c>
      <c r="H272" t="s">
        <v>1154</v>
      </c>
      <c r="K272" t="s">
        <v>1155</v>
      </c>
      <c r="L272" t="s">
        <v>1131</v>
      </c>
      <c r="M272" t="s">
        <v>188</v>
      </c>
      <c r="N272" s="5" t="s">
        <v>1156</v>
      </c>
    </row>
    <row r="273" spans="1:14">
      <c r="A273" t="s">
        <v>1157</v>
      </c>
      <c r="B273" t="s">
        <v>1157</v>
      </c>
      <c r="C273" t="s">
        <v>1157</v>
      </c>
      <c r="D273" t="s">
        <v>1157</v>
      </c>
      <c r="E273" t="s">
        <v>183</v>
      </c>
      <c r="F273" t="s">
        <v>184</v>
      </c>
      <c r="H273" t="s">
        <v>1158</v>
      </c>
      <c r="K273" t="s">
        <v>1159</v>
      </c>
      <c r="L273" t="s">
        <v>1131</v>
      </c>
      <c r="M273" t="s">
        <v>188</v>
      </c>
      <c r="N273" s="5" t="s">
        <v>1160</v>
      </c>
    </row>
    <row r="274" spans="1:14">
      <c r="A274" t="s">
        <v>1161</v>
      </c>
      <c r="B274" t="s">
        <v>1161</v>
      </c>
      <c r="C274" t="s">
        <v>1161</v>
      </c>
      <c r="D274" t="s">
        <v>1161</v>
      </c>
      <c r="E274" t="s">
        <v>183</v>
      </c>
      <c r="F274" t="s">
        <v>184</v>
      </c>
      <c r="H274" t="s">
        <v>1162</v>
      </c>
      <c r="K274" t="s">
        <v>1163</v>
      </c>
      <c r="L274" t="s">
        <v>1131</v>
      </c>
      <c r="M274" t="s">
        <v>188</v>
      </c>
      <c r="N274" s="5" t="s">
        <v>1164</v>
      </c>
    </row>
    <row r="275" spans="1:14">
      <c r="A275" t="s">
        <v>1165</v>
      </c>
      <c r="B275" t="s">
        <v>1165</v>
      </c>
      <c r="C275" t="s">
        <v>1165</v>
      </c>
      <c r="D275" t="s">
        <v>1165</v>
      </c>
      <c r="E275" t="s">
        <v>183</v>
      </c>
      <c r="F275" t="s">
        <v>184</v>
      </c>
      <c r="H275" t="s">
        <v>1166</v>
      </c>
      <c r="K275" t="s">
        <v>1163</v>
      </c>
      <c r="L275" t="s">
        <v>1131</v>
      </c>
      <c r="M275" t="s">
        <v>188</v>
      </c>
      <c r="N275" s="5" t="s">
        <v>1164</v>
      </c>
    </row>
    <row r="276" spans="1:14">
      <c r="A276" t="s">
        <v>1167</v>
      </c>
      <c r="B276" t="s">
        <v>1167</v>
      </c>
      <c r="C276" t="s">
        <v>1167</v>
      </c>
      <c r="D276" t="s">
        <v>1167</v>
      </c>
      <c r="E276" t="s">
        <v>183</v>
      </c>
      <c r="F276" t="s">
        <v>184</v>
      </c>
      <c r="H276" t="s">
        <v>1168</v>
      </c>
      <c r="K276" t="s">
        <v>1169</v>
      </c>
      <c r="L276" t="s">
        <v>1131</v>
      </c>
      <c r="M276" t="s">
        <v>188</v>
      </c>
      <c r="N276" s="5" t="s">
        <v>1170</v>
      </c>
    </row>
    <row r="277" spans="1:14">
      <c r="A277" t="s">
        <v>1171</v>
      </c>
      <c r="B277" t="s">
        <v>1171</v>
      </c>
      <c r="C277" t="s">
        <v>1171</v>
      </c>
      <c r="D277" t="s">
        <v>1171</v>
      </c>
      <c r="E277" t="s">
        <v>183</v>
      </c>
      <c r="F277" t="s">
        <v>184</v>
      </c>
      <c r="H277" t="s">
        <v>1172</v>
      </c>
      <c r="K277" t="s">
        <v>1173</v>
      </c>
      <c r="L277" t="s">
        <v>1131</v>
      </c>
      <c r="M277" t="s">
        <v>188</v>
      </c>
      <c r="N277" s="5" t="s">
        <v>1174</v>
      </c>
    </row>
    <row r="278" spans="1:14">
      <c r="A278" t="s">
        <v>1175</v>
      </c>
      <c r="B278" t="s">
        <v>1175</v>
      </c>
      <c r="C278" t="s">
        <v>1175</v>
      </c>
      <c r="D278" t="s">
        <v>1175</v>
      </c>
      <c r="E278" t="s">
        <v>183</v>
      </c>
      <c r="F278" t="s">
        <v>184</v>
      </c>
      <c r="H278" t="s">
        <v>1176</v>
      </c>
      <c r="K278" t="s">
        <v>1177</v>
      </c>
      <c r="L278" t="s">
        <v>1131</v>
      </c>
      <c r="M278" t="s">
        <v>188</v>
      </c>
      <c r="N278" s="5" t="s">
        <v>1178</v>
      </c>
    </row>
    <row r="279" spans="1:14">
      <c r="A279" t="s">
        <v>1179</v>
      </c>
      <c r="B279" t="s">
        <v>1179</v>
      </c>
      <c r="C279" t="s">
        <v>1179</v>
      </c>
      <c r="D279" t="s">
        <v>1179</v>
      </c>
      <c r="E279" t="s">
        <v>183</v>
      </c>
      <c r="F279" t="s">
        <v>184</v>
      </c>
      <c r="H279" t="s">
        <v>1180</v>
      </c>
      <c r="K279" t="s">
        <v>1177</v>
      </c>
      <c r="L279" t="s">
        <v>1131</v>
      </c>
      <c r="M279" t="s">
        <v>188</v>
      </c>
      <c r="N279" s="5" t="s">
        <v>1178</v>
      </c>
    </row>
    <row r="280" spans="1:14">
      <c r="A280" t="s">
        <v>1181</v>
      </c>
      <c r="B280" t="s">
        <v>1181</v>
      </c>
      <c r="C280" t="s">
        <v>1181</v>
      </c>
      <c r="D280" t="s">
        <v>1181</v>
      </c>
      <c r="E280" t="s">
        <v>183</v>
      </c>
      <c r="F280" t="s">
        <v>184</v>
      </c>
      <c r="H280" t="s">
        <v>1182</v>
      </c>
      <c r="K280" t="s">
        <v>1177</v>
      </c>
      <c r="L280" t="s">
        <v>1131</v>
      </c>
      <c r="M280" t="s">
        <v>188</v>
      </c>
      <c r="N280" s="5" t="s">
        <v>1178</v>
      </c>
    </row>
    <row r="281" spans="1:14">
      <c r="A281" t="s">
        <v>1183</v>
      </c>
      <c r="B281" t="s">
        <v>1183</v>
      </c>
      <c r="C281" t="s">
        <v>1183</v>
      </c>
      <c r="D281" t="s">
        <v>1183</v>
      </c>
      <c r="E281" t="s">
        <v>183</v>
      </c>
      <c r="F281" t="s">
        <v>184</v>
      </c>
      <c r="H281" t="s">
        <v>1184</v>
      </c>
      <c r="K281" t="s">
        <v>1177</v>
      </c>
      <c r="L281" t="s">
        <v>1131</v>
      </c>
      <c r="M281" t="s">
        <v>188</v>
      </c>
      <c r="N281" s="5" t="s">
        <v>1185</v>
      </c>
    </row>
    <row r="282" spans="1:14">
      <c r="A282" t="s">
        <v>1186</v>
      </c>
      <c r="B282" t="s">
        <v>1186</v>
      </c>
      <c r="C282" t="s">
        <v>1186</v>
      </c>
      <c r="D282" t="s">
        <v>1186</v>
      </c>
      <c r="E282" t="s">
        <v>183</v>
      </c>
      <c r="F282" t="s">
        <v>184</v>
      </c>
      <c r="H282" t="s">
        <v>1187</v>
      </c>
      <c r="K282" t="s">
        <v>1188</v>
      </c>
      <c r="L282" t="s">
        <v>1131</v>
      </c>
      <c r="M282" t="s">
        <v>188</v>
      </c>
      <c r="N282" s="5" t="s">
        <v>1189</v>
      </c>
    </row>
    <row r="283" spans="1:14">
      <c r="A283" t="s">
        <v>1190</v>
      </c>
      <c r="B283" t="s">
        <v>1190</v>
      </c>
      <c r="C283" t="s">
        <v>1190</v>
      </c>
      <c r="D283" t="s">
        <v>1190</v>
      </c>
      <c r="E283" t="s">
        <v>183</v>
      </c>
      <c r="F283" t="s">
        <v>184</v>
      </c>
      <c r="H283" t="s">
        <v>1191</v>
      </c>
      <c r="K283" t="s">
        <v>1192</v>
      </c>
      <c r="L283" t="s">
        <v>1131</v>
      </c>
      <c r="M283" t="s">
        <v>188</v>
      </c>
      <c r="N283" s="5" t="s">
        <v>1193</v>
      </c>
    </row>
    <row r="284" spans="1:14">
      <c r="A284" t="s">
        <v>1194</v>
      </c>
      <c r="B284" t="s">
        <v>1194</v>
      </c>
      <c r="C284" t="s">
        <v>1194</v>
      </c>
      <c r="D284" t="s">
        <v>1194</v>
      </c>
      <c r="E284" t="s">
        <v>183</v>
      </c>
      <c r="F284" t="s">
        <v>184</v>
      </c>
      <c r="H284" t="s">
        <v>1195</v>
      </c>
      <c r="K284" t="s">
        <v>1196</v>
      </c>
      <c r="L284" t="s">
        <v>1197</v>
      </c>
      <c r="M284" t="s">
        <v>188</v>
      </c>
      <c r="N284" s="5" t="s">
        <v>1198</v>
      </c>
    </row>
    <row r="285" spans="1:14">
      <c r="A285" t="s">
        <v>1199</v>
      </c>
      <c r="B285" t="s">
        <v>1199</v>
      </c>
      <c r="C285" t="s">
        <v>1199</v>
      </c>
      <c r="D285" t="s">
        <v>1199</v>
      </c>
      <c r="E285" t="s">
        <v>183</v>
      </c>
      <c r="F285" t="s">
        <v>184</v>
      </c>
      <c r="H285" t="s">
        <v>1200</v>
      </c>
      <c r="K285" t="s">
        <v>1201</v>
      </c>
      <c r="L285" t="s">
        <v>1197</v>
      </c>
      <c r="M285" t="s">
        <v>188</v>
      </c>
      <c r="N285" s="5" t="s">
        <v>1202</v>
      </c>
    </row>
    <row r="286" spans="1:14">
      <c r="A286" t="s">
        <v>1203</v>
      </c>
      <c r="B286" t="s">
        <v>1203</v>
      </c>
      <c r="C286" t="s">
        <v>1203</v>
      </c>
      <c r="D286" t="s">
        <v>1203</v>
      </c>
      <c r="E286" t="s">
        <v>183</v>
      </c>
      <c r="F286" t="s">
        <v>184</v>
      </c>
      <c r="H286" t="s">
        <v>1204</v>
      </c>
      <c r="K286" t="s">
        <v>1006</v>
      </c>
      <c r="L286" t="s">
        <v>1197</v>
      </c>
      <c r="M286" t="s">
        <v>188</v>
      </c>
      <c r="N286" s="5" t="s">
        <v>1205</v>
      </c>
    </row>
    <row r="287" spans="1:14">
      <c r="A287" t="s">
        <v>1206</v>
      </c>
      <c r="B287" t="s">
        <v>1206</v>
      </c>
      <c r="C287" t="s">
        <v>1206</v>
      </c>
      <c r="D287" t="s">
        <v>1206</v>
      </c>
      <c r="E287" t="s">
        <v>183</v>
      </c>
      <c r="F287" t="s">
        <v>184</v>
      </c>
      <c r="H287" t="s">
        <v>1207</v>
      </c>
      <c r="K287" t="s">
        <v>1208</v>
      </c>
      <c r="L287" t="s">
        <v>1197</v>
      </c>
      <c r="M287" t="s">
        <v>188</v>
      </c>
      <c r="N287" s="5" t="s">
        <v>1209</v>
      </c>
    </row>
    <row r="288" spans="1:14">
      <c r="A288" t="s">
        <v>1210</v>
      </c>
      <c r="B288" t="s">
        <v>1210</v>
      </c>
      <c r="C288" t="s">
        <v>1210</v>
      </c>
      <c r="D288" t="s">
        <v>1210</v>
      </c>
      <c r="E288" t="s">
        <v>183</v>
      </c>
      <c r="F288" t="s">
        <v>184</v>
      </c>
      <c r="H288" t="s">
        <v>1211</v>
      </c>
      <c r="K288" t="s">
        <v>1212</v>
      </c>
      <c r="L288" t="s">
        <v>1197</v>
      </c>
      <c r="M288" t="s">
        <v>188</v>
      </c>
      <c r="N288" s="5" t="s">
        <v>1213</v>
      </c>
    </row>
    <row r="289" spans="1:14">
      <c r="A289" t="s">
        <v>1214</v>
      </c>
      <c r="B289" t="s">
        <v>1214</v>
      </c>
      <c r="C289" t="s">
        <v>1214</v>
      </c>
      <c r="D289" t="s">
        <v>1214</v>
      </c>
      <c r="E289" t="s">
        <v>183</v>
      </c>
      <c r="F289" t="s">
        <v>184</v>
      </c>
      <c r="H289" t="s">
        <v>1215</v>
      </c>
      <c r="K289" t="s">
        <v>1216</v>
      </c>
      <c r="L289" t="s">
        <v>1197</v>
      </c>
      <c r="M289" t="s">
        <v>188</v>
      </c>
      <c r="N289" s="5" t="s">
        <v>1217</v>
      </c>
    </row>
    <row r="290" spans="1:14">
      <c r="A290" t="s">
        <v>1218</v>
      </c>
      <c r="B290" t="s">
        <v>1218</v>
      </c>
      <c r="C290" t="s">
        <v>1218</v>
      </c>
      <c r="D290" t="s">
        <v>1218</v>
      </c>
      <c r="E290" t="s">
        <v>183</v>
      </c>
      <c r="F290" t="s">
        <v>184</v>
      </c>
      <c r="H290" t="s">
        <v>1219</v>
      </c>
      <c r="K290" t="s">
        <v>1220</v>
      </c>
      <c r="L290" t="s">
        <v>1197</v>
      </c>
      <c r="M290" t="s">
        <v>188</v>
      </c>
      <c r="N290" s="5" t="s">
        <v>1221</v>
      </c>
    </row>
    <row r="291" spans="1:14">
      <c r="A291" t="s">
        <v>1222</v>
      </c>
      <c r="B291" t="s">
        <v>1222</v>
      </c>
      <c r="C291" t="s">
        <v>1222</v>
      </c>
      <c r="D291" t="s">
        <v>1222</v>
      </c>
      <c r="E291" t="s">
        <v>183</v>
      </c>
      <c r="F291" t="s">
        <v>184</v>
      </c>
      <c r="H291" t="s">
        <v>1223</v>
      </c>
      <c r="K291" t="s">
        <v>1224</v>
      </c>
      <c r="L291" t="s">
        <v>1197</v>
      </c>
      <c r="M291" t="s">
        <v>188</v>
      </c>
      <c r="N291" s="5" t="s">
        <v>1225</v>
      </c>
    </row>
    <row r="292" spans="1:14">
      <c r="A292" t="s">
        <v>1226</v>
      </c>
      <c r="B292" t="s">
        <v>1226</v>
      </c>
      <c r="C292" t="s">
        <v>1226</v>
      </c>
      <c r="D292" t="s">
        <v>1226</v>
      </c>
      <c r="F292" t="s">
        <v>184</v>
      </c>
      <c r="H292" t="s">
        <v>1227</v>
      </c>
      <c r="K292" t="s">
        <v>1228</v>
      </c>
      <c r="L292" t="s">
        <v>332</v>
      </c>
      <c r="M292" t="s">
        <v>188</v>
      </c>
      <c r="N292" s="5" t="s">
        <v>1229</v>
      </c>
    </row>
    <row r="293" spans="1:14">
      <c r="A293" t="s">
        <v>1230</v>
      </c>
      <c r="B293" t="s">
        <v>1230</v>
      </c>
      <c r="C293" t="s">
        <v>1230</v>
      </c>
      <c r="D293" t="s">
        <v>1230</v>
      </c>
      <c r="E293" t="s">
        <v>1231</v>
      </c>
      <c r="F293" t="s">
        <v>184</v>
      </c>
      <c r="H293" t="s">
        <v>1232</v>
      </c>
      <c r="K293" t="s">
        <v>1233</v>
      </c>
      <c r="L293" t="s">
        <v>1068</v>
      </c>
      <c r="M293" t="s">
        <v>188</v>
      </c>
      <c r="N293" s="5">
        <v>23297</v>
      </c>
    </row>
    <row r="294" spans="1:14">
      <c r="A294" t="s">
        <v>1234</v>
      </c>
      <c r="B294" t="s">
        <v>1234</v>
      </c>
      <c r="C294" t="s">
        <v>1234</v>
      </c>
      <c r="D294" t="s">
        <v>1234</v>
      </c>
      <c r="F294" t="s">
        <v>184</v>
      </c>
      <c r="H294" t="s">
        <v>1235</v>
      </c>
      <c r="K294" t="s">
        <v>1236</v>
      </c>
      <c r="L294" t="s">
        <v>290</v>
      </c>
      <c r="M294" t="s">
        <v>188</v>
      </c>
      <c r="N294" s="5" t="s">
        <v>1237</v>
      </c>
    </row>
    <row r="295" spans="1:14">
      <c r="A295" t="s">
        <v>1238</v>
      </c>
      <c r="B295" t="s">
        <v>1238</v>
      </c>
      <c r="C295" t="s">
        <v>1238</v>
      </c>
      <c r="D295" t="s">
        <v>1238</v>
      </c>
      <c r="F295" t="s">
        <v>184</v>
      </c>
      <c r="H295" t="s">
        <v>1239</v>
      </c>
      <c r="K295" t="s">
        <v>1240</v>
      </c>
      <c r="L295" t="s">
        <v>332</v>
      </c>
      <c r="M295" t="s">
        <v>188</v>
      </c>
      <c r="N295" s="5" t="s">
        <v>1241</v>
      </c>
    </row>
    <row r="296" spans="1:14">
      <c r="A296" t="s">
        <v>1242</v>
      </c>
      <c r="B296" t="s">
        <v>1242</v>
      </c>
      <c r="C296" t="s">
        <v>1242</v>
      </c>
      <c r="D296" t="s">
        <v>1242</v>
      </c>
      <c r="F296" t="s">
        <v>184</v>
      </c>
      <c r="H296" t="s">
        <v>1243</v>
      </c>
      <c r="K296" t="s">
        <v>482</v>
      </c>
      <c r="L296" t="s">
        <v>468</v>
      </c>
      <c r="M296" t="s">
        <v>188</v>
      </c>
      <c r="N296" s="5" t="s">
        <v>477</v>
      </c>
    </row>
    <row r="297" spans="1:14">
      <c r="A297" t="s">
        <v>1244</v>
      </c>
      <c r="B297" t="s">
        <v>1244</v>
      </c>
      <c r="C297" t="s">
        <v>1244</v>
      </c>
      <c r="D297" t="s">
        <v>1244</v>
      </c>
      <c r="F297" t="s">
        <v>184</v>
      </c>
      <c r="H297" t="s">
        <v>1245</v>
      </c>
      <c r="K297" t="s">
        <v>1246</v>
      </c>
      <c r="L297" t="s">
        <v>1068</v>
      </c>
      <c r="M297" t="s">
        <v>188</v>
      </c>
      <c r="N297" s="5" t="s">
        <v>1247</v>
      </c>
    </row>
    <row r="298" spans="1:14">
      <c r="A298" t="s">
        <v>1248</v>
      </c>
      <c r="B298" t="s">
        <v>1248</v>
      </c>
      <c r="C298" t="s">
        <v>1248</v>
      </c>
      <c r="D298" t="s">
        <v>1248</v>
      </c>
      <c r="F298" t="s">
        <v>184</v>
      </c>
      <c r="H298" t="s">
        <v>1249</v>
      </c>
      <c r="K298" t="s">
        <v>1250</v>
      </c>
      <c r="L298" t="s">
        <v>1131</v>
      </c>
      <c r="M298" t="s">
        <v>188</v>
      </c>
      <c r="N298" s="5" t="s">
        <v>1251</v>
      </c>
    </row>
    <row r="299" spans="1:14">
      <c r="A299" t="s">
        <v>1252</v>
      </c>
      <c r="B299" t="s">
        <v>1252</v>
      </c>
      <c r="C299" t="s">
        <v>1252</v>
      </c>
      <c r="D299" t="s">
        <v>1252</v>
      </c>
      <c r="F299" t="s">
        <v>184</v>
      </c>
      <c r="H299" t="s">
        <v>1253</v>
      </c>
      <c r="K299" t="s">
        <v>1254</v>
      </c>
      <c r="L299" t="s">
        <v>555</v>
      </c>
      <c r="M299" t="s">
        <v>188</v>
      </c>
      <c r="N299" s="5" t="s">
        <v>1255</v>
      </c>
    </row>
    <row r="300" spans="1:14">
      <c r="A300" t="s">
        <v>1256</v>
      </c>
      <c r="B300" t="s">
        <v>1256</v>
      </c>
      <c r="C300" t="s">
        <v>1256</v>
      </c>
      <c r="D300" t="s">
        <v>1256</v>
      </c>
      <c r="F300" t="s">
        <v>184</v>
      </c>
      <c r="H300" t="s">
        <v>1257</v>
      </c>
      <c r="K300" t="s">
        <v>1258</v>
      </c>
      <c r="L300" t="s">
        <v>332</v>
      </c>
      <c r="M300" t="s">
        <v>188</v>
      </c>
      <c r="N300" s="5" t="s">
        <v>1259</v>
      </c>
    </row>
    <row r="301" spans="1:14">
      <c r="A301" t="s">
        <v>1260</v>
      </c>
      <c r="B301" t="s">
        <v>1260</v>
      </c>
      <c r="C301" t="s">
        <v>1260</v>
      </c>
      <c r="D301" t="s">
        <v>1260</v>
      </c>
      <c r="F301" t="s">
        <v>184</v>
      </c>
      <c r="H301" t="s">
        <v>1261</v>
      </c>
      <c r="K301" t="s">
        <v>1262</v>
      </c>
      <c r="L301" t="s">
        <v>1197</v>
      </c>
      <c r="M301" t="s">
        <v>188</v>
      </c>
      <c r="N301" s="5" t="s">
        <v>1263</v>
      </c>
    </row>
    <row r="302" spans="1:14">
      <c r="A302" t="s">
        <v>1264</v>
      </c>
      <c r="B302" t="s">
        <v>1264</v>
      </c>
      <c r="C302" t="s">
        <v>1264</v>
      </c>
      <c r="D302" t="s">
        <v>1264</v>
      </c>
      <c r="F302" t="s">
        <v>184</v>
      </c>
      <c r="H302" t="s">
        <v>1265</v>
      </c>
      <c r="K302" t="s">
        <v>1228</v>
      </c>
      <c r="L302" t="s">
        <v>332</v>
      </c>
      <c r="M302" t="s">
        <v>188</v>
      </c>
      <c r="N302" s="5" t="s">
        <v>1229</v>
      </c>
    </row>
    <row r="303" spans="1:14">
      <c r="A303" t="s">
        <v>1266</v>
      </c>
      <c r="B303" t="s">
        <v>1266</v>
      </c>
      <c r="C303" t="s">
        <v>1266</v>
      </c>
      <c r="D303" t="s">
        <v>1266</v>
      </c>
      <c r="F303" t="s">
        <v>184</v>
      </c>
      <c r="H303" t="s">
        <v>1267</v>
      </c>
      <c r="K303" t="s">
        <v>1268</v>
      </c>
      <c r="L303" t="s">
        <v>555</v>
      </c>
      <c r="M303" t="s">
        <v>188</v>
      </c>
      <c r="N303" s="5" t="s">
        <v>1269</v>
      </c>
    </row>
    <row r="304" spans="1:14">
      <c r="A304" t="s">
        <v>1270</v>
      </c>
      <c r="B304" t="s">
        <v>1270</v>
      </c>
      <c r="C304" t="s">
        <v>1270</v>
      </c>
      <c r="D304" t="s">
        <v>1270</v>
      </c>
      <c r="F304" t="s">
        <v>184</v>
      </c>
      <c r="H304" t="s">
        <v>1271</v>
      </c>
      <c r="K304" t="s">
        <v>1272</v>
      </c>
      <c r="L304" t="s">
        <v>332</v>
      </c>
      <c r="M304" t="s">
        <v>188</v>
      </c>
      <c r="N304" s="5">
        <v>94561</v>
      </c>
    </row>
    <row r="305" spans="1:14">
      <c r="A305" t="s">
        <v>1273</v>
      </c>
      <c r="B305" t="s">
        <v>1273</v>
      </c>
      <c r="C305" t="s">
        <v>1273</v>
      </c>
      <c r="D305" t="s">
        <v>1273</v>
      </c>
      <c r="F305" t="s">
        <v>184</v>
      </c>
      <c r="H305" t="s">
        <v>1274</v>
      </c>
      <c r="K305" t="s">
        <v>1275</v>
      </c>
      <c r="L305" t="s">
        <v>1048</v>
      </c>
      <c r="M305" t="s">
        <v>188</v>
      </c>
      <c r="N305" s="5" t="s">
        <v>1276</v>
      </c>
    </row>
    <row r="306" spans="1:14">
      <c r="A306" t="s">
        <v>1277</v>
      </c>
      <c r="B306" t="s">
        <v>1277</v>
      </c>
      <c r="C306" t="s">
        <v>1277</v>
      </c>
      <c r="D306" t="s">
        <v>1277</v>
      </c>
      <c r="F306" t="s">
        <v>184</v>
      </c>
      <c r="H306" t="s">
        <v>1278</v>
      </c>
      <c r="K306" t="s">
        <v>1279</v>
      </c>
      <c r="L306" t="s">
        <v>1068</v>
      </c>
      <c r="M306" t="s">
        <v>188</v>
      </c>
      <c r="N306" s="5" t="s">
        <v>1280</v>
      </c>
    </row>
    <row r="307" spans="1:14">
      <c r="A307" t="s">
        <v>1281</v>
      </c>
      <c r="B307" t="s">
        <v>1281</v>
      </c>
      <c r="C307" t="s">
        <v>1281</v>
      </c>
      <c r="D307" t="s">
        <v>1281</v>
      </c>
      <c r="F307" t="s">
        <v>184</v>
      </c>
      <c r="H307" t="s">
        <v>1282</v>
      </c>
      <c r="K307" t="s">
        <v>1283</v>
      </c>
      <c r="L307" t="s">
        <v>1068</v>
      </c>
      <c r="M307" t="s">
        <v>188</v>
      </c>
      <c r="N307" s="5" t="s">
        <v>1284</v>
      </c>
    </row>
    <row r="308" spans="1:14">
      <c r="A308" t="s">
        <v>1285</v>
      </c>
      <c r="B308" t="s">
        <v>1285</v>
      </c>
      <c r="C308" t="s">
        <v>1285</v>
      </c>
      <c r="D308" t="s">
        <v>1285</v>
      </c>
      <c r="F308" t="s">
        <v>184</v>
      </c>
      <c r="H308" t="s">
        <v>1286</v>
      </c>
      <c r="K308" t="s">
        <v>1287</v>
      </c>
      <c r="L308" t="s">
        <v>1048</v>
      </c>
      <c r="M308" t="s">
        <v>188</v>
      </c>
      <c r="N308" s="5" t="s">
        <v>1288</v>
      </c>
    </row>
    <row r="309" spans="1:14">
      <c r="A309" s="10" t="s">
        <v>1289</v>
      </c>
      <c r="B309" s="10" t="s">
        <v>1289</v>
      </c>
      <c r="C309" s="10" t="s">
        <v>1289</v>
      </c>
      <c r="D309" s="10" t="s">
        <v>1289</v>
      </c>
      <c r="F309" t="s">
        <v>184</v>
      </c>
      <c r="H309" s="10" t="s">
        <v>1290</v>
      </c>
      <c r="K309" s="10" t="s">
        <v>1291</v>
      </c>
      <c r="L309" s="10" t="s">
        <v>690</v>
      </c>
      <c r="M309" t="s">
        <v>188</v>
      </c>
      <c r="N309" s="10" t="s">
        <v>1292</v>
      </c>
    </row>
    <row r="310" spans="1:14">
      <c r="A310" s="10" t="s">
        <v>1293</v>
      </c>
      <c r="B310" s="10" t="s">
        <v>1293</v>
      </c>
      <c r="C310" s="10" t="s">
        <v>1293</v>
      </c>
      <c r="D310" s="10" t="s">
        <v>1293</v>
      </c>
      <c r="F310" t="s">
        <v>184</v>
      </c>
      <c r="H310" s="10" t="s">
        <v>1294</v>
      </c>
      <c r="K310" s="10" t="s">
        <v>1295</v>
      </c>
      <c r="L310" s="10" t="s">
        <v>1068</v>
      </c>
      <c r="M310" t="s">
        <v>188</v>
      </c>
      <c r="N310" s="10" t="s">
        <v>1296</v>
      </c>
    </row>
    <row r="311" spans="1:14">
      <c r="A311" s="10" t="s">
        <v>1297</v>
      </c>
      <c r="B311" s="10" t="s">
        <v>1297</v>
      </c>
      <c r="C311" s="10" t="s">
        <v>1297</v>
      </c>
      <c r="D311" s="10" t="s">
        <v>1297</v>
      </c>
      <c r="F311" t="s">
        <v>184</v>
      </c>
      <c r="H311" s="10" t="s">
        <v>1298</v>
      </c>
      <c r="K311" s="10" t="s">
        <v>1299</v>
      </c>
      <c r="L311" s="10" t="s">
        <v>1048</v>
      </c>
      <c r="M311" t="s">
        <v>188</v>
      </c>
      <c r="N311" s="10" t="s">
        <v>1300</v>
      </c>
    </row>
    <row r="312" spans="1:14">
      <c r="A312" s="10" t="s">
        <v>1301</v>
      </c>
      <c r="B312" s="10" t="s">
        <v>1301</v>
      </c>
      <c r="C312" s="10" t="s">
        <v>1301</v>
      </c>
      <c r="D312" s="10" t="s">
        <v>1301</v>
      </c>
      <c r="F312" t="s">
        <v>184</v>
      </c>
      <c r="H312" s="10" t="s">
        <v>1302</v>
      </c>
      <c r="K312" s="10" t="s">
        <v>1303</v>
      </c>
      <c r="L312" s="10" t="s">
        <v>1131</v>
      </c>
      <c r="M312" t="s">
        <v>188</v>
      </c>
      <c r="N312" s="10" t="s">
        <v>1304</v>
      </c>
    </row>
    <row r="313" spans="1:14">
      <c r="A313" s="10" t="s">
        <v>1305</v>
      </c>
      <c r="B313" s="10" t="s">
        <v>1305</v>
      </c>
      <c r="C313" s="10" t="s">
        <v>1305</v>
      </c>
      <c r="D313" s="10" t="s">
        <v>1305</v>
      </c>
      <c r="F313" t="s">
        <v>184</v>
      </c>
      <c r="H313" s="10" t="s">
        <v>1306</v>
      </c>
      <c r="K313" s="10" t="s">
        <v>1307</v>
      </c>
      <c r="L313" s="10" t="s">
        <v>762</v>
      </c>
      <c r="M313" t="s">
        <v>188</v>
      </c>
      <c r="N313" s="10" t="s">
        <v>1308</v>
      </c>
    </row>
    <row r="314" spans="1:14">
      <c r="A314" s="10" t="s">
        <v>1309</v>
      </c>
      <c r="B314" s="10" t="s">
        <v>1309</v>
      </c>
      <c r="C314" s="10" t="s">
        <v>1309</v>
      </c>
      <c r="D314" s="10" t="s">
        <v>1309</v>
      </c>
      <c r="F314" t="s">
        <v>184</v>
      </c>
      <c r="H314" s="10" t="s">
        <v>1310</v>
      </c>
      <c r="K314" s="10" t="s">
        <v>1311</v>
      </c>
      <c r="L314" s="10" t="s">
        <v>820</v>
      </c>
      <c r="M314" t="s">
        <v>188</v>
      </c>
      <c r="N314" s="10" t="s">
        <v>1312</v>
      </c>
    </row>
    <row r="315" spans="1:14">
      <c r="A315" s="10" t="s">
        <v>1313</v>
      </c>
      <c r="B315" s="10" t="s">
        <v>1313</v>
      </c>
      <c r="C315" s="10" t="s">
        <v>1313</v>
      </c>
      <c r="D315" s="10" t="s">
        <v>1313</v>
      </c>
      <c r="F315" t="s">
        <v>184</v>
      </c>
      <c r="H315" s="10" t="s">
        <v>1314</v>
      </c>
      <c r="K315" s="10" t="s">
        <v>1315</v>
      </c>
      <c r="L315" s="10" t="s">
        <v>1316</v>
      </c>
      <c r="M315" t="s">
        <v>188</v>
      </c>
      <c r="N315" s="10" t="s">
        <v>1317</v>
      </c>
    </row>
    <row r="316" spans="1:14">
      <c r="A316" s="10" t="s">
        <v>1318</v>
      </c>
      <c r="B316" s="10" t="s">
        <v>1318</v>
      </c>
      <c r="C316" s="10" t="s">
        <v>1318</v>
      </c>
      <c r="D316" s="10" t="s">
        <v>1318</v>
      </c>
      <c r="F316" t="s">
        <v>184</v>
      </c>
      <c r="H316" s="10" t="s">
        <v>1319</v>
      </c>
      <c r="K316" s="10" t="s">
        <v>1320</v>
      </c>
      <c r="L316" s="10" t="s">
        <v>951</v>
      </c>
      <c r="M316" t="s">
        <v>188</v>
      </c>
      <c r="N316" s="10" t="s">
        <v>1321</v>
      </c>
    </row>
    <row r="317" spans="1:14">
      <c r="A317" s="10" t="s">
        <v>1322</v>
      </c>
      <c r="B317" s="10" t="s">
        <v>1322</v>
      </c>
      <c r="C317" s="10" t="s">
        <v>1322</v>
      </c>
      <c r="D317" s="10" t="s">
        <v>1322</v>
      </c>
      <c r="F317" t="s">
        <v>184</v>
      </c>
      <c r="H317" s="10" t="s">
        <v>1323</v>
      </c>
      <c r="K317" s="10" t="s">
        <v>1324</v>
      </c>
      <c r="L317" s="10" t="s">
        <v>909</v>
      </c>
      <c r="M317" t="s">
        <v>188</v>
      </c>
      <c r="N317" s="10" t="s">
        <v>1325</v>
      </c>
    </row>
    <row r="318" spans="1:14">
      <c r="A318" s="10" t="s">
        <v>1326</v>
      </c>
      <c r="B318" s="10" t="s">
        <v>1326</v>
      </c>
      <c r="C318" s="10" t="s">
        <v>1326</v>
      </c>
      <c r="D318" s="10" t="s">
        <v>1326</v>
      </c>
      <c r="F318" t="s">
        <v>184</v>
      </c>
      <c r="H318" s="10" t="s">
        <v>1327</v>
      </c>
      <c r="K318" s="10" t="s">
        <v>1328</v>
      </c>
      <c r="L318" s="10" t="s">
        <v>290</v>
      </c>
      <c r="M318" t="s">
        <v>188</v>
      </c>
      <c r="N318" s="10" t="s">
        <v>1329</v>
      </c>
    </row>
    <row r="319" spans="1:14">
      <c r="A319" s="10" t="s">
        <v>1330</v>
      </c>
      <c r="B319" s="10" t="s">
        <v>1330</v>
      </c>
      <c r="C319" s="10" t="s">
        <v>1330</v>
      </c>
      <c r="D319" s="10" t="s">
        <v>1330</v>
      </c>
      <c r="F319" t="s">
        <v>184</v>
      </c>
      <c r="H319" s="10" t="s">
        <v>1331</v>
      </c>
      <c r="K319" s="10" t="s">
        <v>1332</v>
      </c>
      <c r="L319" s="10" t="s">
        <v>1131</v>
      </c>
      <c r="M319" t="s">
        <v>188</v>
      </c>
      <c r="N319" s="10" t="s">
        <v>1333</v>
      </c>
    </row>
    <row r="320" spans="1:14">
      <c r="A320" s="10" t="s">
        <v>1334</v>
      </c>
      <c r="B320" s="10" t="s">
        <v>1334</v>
      </c>
      <c r="C320" s="10" t="s">
        <v>1334</v>
      </c>
      <c r="D320" s="10" t="s">
        <v>1334</v>
      </c>
      <c r="F320" t="s">
        <v>184</v>
      </c>
      <c r="H320" s="10" t="s">
        <v>1335</v>
      </c>
      <c r="K320" s="10" t="s">
        <v>323</v>
      </c>
      <c r="L320" s="10" t="s">
        <v>319</v>
      </c>
      <c r="M320" t="s">
        <v>188</v>
      </c>
      <c r="N320" s="10" t="s">
        <v>1336</v>
      </c>
    </row>
    <row r="321" spans="1:14">
      <c r="A321" t="s">
        <v>1337</v>
      </c>
      <c r="B321" t="s">
        <v>1337</v>
      </c>
      <c r="C321" t="s">
        <v>1337</v>
      </c>
      <c r="D321" t="s">
        <v>1337</v>
      </c>
      <c r="F321" t="s">
        <v>184</v>
      </c>
      <c r="H321" t="s">
        <v>1338</v>
      </c>
      <c r="K321" t="s">
        <v>1339</v>
      </c>
      <c r="L321" t="s">
        <v>951</v>
      </c>
      <c r="M321" t="s">
        <v>188</v>
      </c>
      <c r="N321" s="5">
        <v>34986</v>
      </c>
    </row>
    <row r="322" spans="1:14">
      <c r="A322" t="s">
        <v>1340</v>
      </c>
      <c r="B322" t="s">
        <v>1340</v>
      </c>
      <c r="C322" t="s">
        <v>1340</v>
      </c>
      <c r="D322" t="s">
        <v>1340</v>
      </c>
      <c r="F322" t="s">
        <v>184</v>
      </c>
      <c r="H322" t="s">
        <v>1341</v>
      </c>
      <c r="K322" t="s">
        <v>1342</v>
      </c>
      <c r="L322" t="s">
        <v>1002</v>
      </c>
      <c r="M322" t="s">
        <v>188</v>
      </c>
      <c r="N322" s="5">
        <v>30184</v>
      </c>
    </row>
    <row r="323" spans="1:14">
      <c r="A323" t="s">
        <v>1343</v>
      </c>
      <c r="B323" t="s">
        <v>1343</v>
      </c>
      <c r="C323" t="s">
        <v>1343</v>
      </c>
      <c r="D323" t="s">
        <v>1343</v>
      </c>
      <c r="F323" t="s">
        <v>184</v>
      </c>
      <c r="H323" t="s">
        <v>1344</v>
      </c>
      <c r="K323" t="s">
        <v>1345</v>
      </c>
      <c r="L323" t="s">
        <v>1091</v>
      </c>
      <c r="M323" t="s">
        <v>188</v>
      </c>
      <c r="N323" s="5">
        <v>21740</v>
      </c>
    </row>
    <row r="324" spans="1:14">
      <c r="A324" t="s">
        <v>1346</v>
      </c>
      <c r="B324" s="10" t="s">
        <v>1346</v>
      </c>
      <c r="C324" s="10" t="s">
        <v>1346</v>
      </c>
      <c r="D324" s="10" t="s">
        <v>1346</v>
      </c>
      <c r="F324" t="s">
        <v>184</v>
      </c>
      <c r="H324" t="s">
        <v>1347</v>
      </c>
      <c r="K324" t="s">
        <v>1348</v>
      </c>
      <c r="L324" t="s">
        <v>1131</v>
      </c>
      <c r="M324" t="s">
        <v>188</v>
      </c>
      <c r="N324" s="5" t="s">
        <v>1349</v>
      </c>
    </row>
    <row r="325" spans="1:14">
      <c r="A325" t="s">
        <v>1350</v>
      </c>
      <c r="B325" s="10" t="s">
        <v>1350</v>
      </c>
      <c r="C325" s="10" t="s">
        <v>1350</v>
      </c>
      <c r="D325" s="10" t="s">
        <v>1350</v>
      </c>
      <c r="F325" t="s">
        <v>184</v>
      </c>
      <c r="H325" t="s">
        <v>1351</v>
      </c>
      <c r="K325" t="s">
        <v>1352</v>
      </c>
      <c r="L325" t="s">
        <v>332</v>
      </c>
      <c r="M325" t="s">
        <v>188</v>
      </c>
      <c r="N325" s="5" t="s">
        <v>1259</v>
      </c>
    </row>
    <row r="326" spans="1:14">
      <c r="A326" t="s">
        <v>1353</v>
      </c>
      <c r="B326" s="10" t="s">
        <v>1353</v>
      </c>
      <c r="C326" s="10" t="s">
        <v>1353</v>
      </c>
      <c r="D326" s="10" t="s">
        <v>1353</v>
      </c>
      <c r="F326" t="s">
        <v>184</v>
      </c>
      <c r="H326" t="s">
        <v>1354</v>
      </c>
      <c r="K326" t="s">
        <v>1355</v>
      </c>
      <c r="L326" t="s">
        <v>497</v>
      </c>
      <c r="M326" t="s">
        <v>188</v>
      </c>
      <c r="N326" s="5">
        <v>85396</v>
      </c>
    </row>
    <row r="327" spans="1:14">
      <c r="A327" t="s">
        <v>1356</v>
      </c>
      <c r="B327" s="10" t="s">
        <v>1356</v>
      </c>
      <c r="C327" s="10" t="s">
        <v>1356</v>
      </c>
      <c r="D327" s="10" t="s">
        <v>1356</v>
      </c>
      <c r="F327" t="s">
        <v>184</v>
      </c>
      <c r="H327" t="s">
        <v>1094</v>
      </c>
      <c r="K327" t="s">
        <v>1345</v>
      </c>
      <c r="L327" t="s">
        <v>1091</v>
      </c>
      <c r="M327" t="s">
        <v>188</v>
      </c>
      <c r="N327" s="5" t="s">
        <v>1096</v>
      </c>
    </row>
    <row r="328" spans="1:14">
      <c r="A328" t="s">
        <v>1357</v>
      </c>
      <c r="B328" s="10" t="s">
        <v>1357</v>
      </c>
      <c r="C328" s="10" t="s">
        <v>1357</v>
      </c>
      <c r="D328" s="10" t="s">
        <v>1357</v>
      </c>
      <c r="F328" t="s">
        <v>184</v>
      </c>
      <c r="H328" t="s">
        <v>1358</v>
      </c>
      <c r="K328" t="s">
        <v>425</v>
      </c>
      <c r="L328" t="s">
        <v>332</v>
      </c>
      <c r="M328" t="s">
        <v>188</v>
      </c>
      <c r="N328" s="5" t="s">
        <v>426</v>
      </c>
    </row>
    <row r="329" spans="1:14">
      <c r="A329" t="s">
        <v>1359</v>
      </c>
      <c r="B329" s="10" t="s">
        <v>1359</v>
      </c>
      <c r="C329" s="10" t="s">
        <v>1359</v>
      </c>
      <c r="D329" s="10" t="s">
        <v>1359</v>
      </c>
      <c r="F329" t="s">
        <v>184</v>
      </c>
      <c r="H329" t="s">
        <v>406</v>
      </c>
      <c r="K329" t="s">
        <v>403</v>
      </c>
      <c r="L329" t="s">
        <v>332</v>
      </c>
      <c r="M329" t="s">
        <v>188</v>
      </c>
      <c r="N329" s="5" t="s">
        <v>404</v>
      </c>
    </row>
    <row r="330" spans="1:14">
      <c r="A330" t="s">
        <v>1360</v>
      </c>
      <c r="B330" s="10" t="s">
        <v>1360</v>
      </c>
      <c r="C330" s="10" t="s">
        <v>1360</v>
      </c>
      <c r="D330" s="10" t="s">
        <v>1360</v>
      </c>
      <c r="F330" t="s">
        <v>184</v>
      </c>
      <c r="H330" t="s">
        <v>357</v>
      </c>
      <c r="K330" t="s">
        <v>358</v>
      </c>
      <c r="L330" t="s">
        <v>332</v>
      </c>
      <c r="M330" t="s">
        <v>188</v>
      </c>
      <c r="N330" s="5" t="s">
        <v>359</v>
      </c>
    </row>
    <row r="331" spans="1:14">
      <c r="A331" t="s">
        <v>1361</v>
      </c>
      <c r="B331" s="10" t="s">
        <v>1361</v>
      </c>
      <c r="C331" s="10" t="s">
        <v>1361</v>
      </c>
      <c r="D331" s="10" t="s">
        <v>1361</v>
      </c>
      <c r="F331" t="s">
        <v>184</v>
      </c>
      <c r="H331" t="s">
        <v>1362</v>
      </c>
      <c r="K331" t="s">
        <v>1363</v>
      </c>
      <c r="L331" t="s">
        <v>332</v>
      </c>
      <c r="M331" t="s">
        <v>188</v>
      </c>
      <c r="N331" s="5" t="s">
        <v>426</v>
      </c>
    </row>
    <row r="332" spans="1:14">
      <c r="A332" t="s">
        <v>1364</v>
      </c>
      <c r="B332" s="10" t="s">
        <v>1364</v>
      </c>
      <c r="C332" s="10" t="s">
        <v>1364</v>
      </c>
      <c r="D332" s="10" t="s">
        <v>1364</v>
      </c>
      <c r="F332" t="s">
        <v>184</v>
      </c>
      <c r="H332" t="s">
        <v>1365</v>
      </c>
      <c r="K332" t="s">
        <v>501</v>
      </c>
      <c r="L332" t="s">
        <v>497</v>
      </c>
      <c r="M332" t="s">
        <v>188</v>
      </c>
      <c r="N332" s="5" t="s">
        <v>502</v>
      </c>
    </row>
    <row r="333" spans="1:14">
      <c r="A333" t="s">
        <v>1366</v>
      </c>
      <c r="B333" s="10" t="s">
        <v>1366</v>
      </c>
      <c r="C333" s="10" t="s">
        <v>1366</v>
      </c>
      <c r="D333" s="10" t="s">
        <v>1366</v>
      </c>
      <c r="F333" t="s">
        <v>184</v>
      </c>
      <c r="H333" t="s">
        <v>1367</v>
      </c>
      <c r="K333" t="s">
        <v>1368</v>
      </c>
      <c r="L333" t="s">
        <v>497</v>
      </c>
      <c r="M333" t="s">
        <v>188</v>
      </c>
      <c r="N333" s="5" t="s">
        <v>1369</v>
      </c>
    </row>
    <row r="334" spans="1:14">
      <c r="A334" t="s">
        <v>1370</v>
      </c>
      <c r="B334" t="s">
        <v>1370</v>
      </c>
      <c r="C334" t="s">
        <v>1370</v>
      </c>
      <c r="D334" t="s">
        <v>1370</v>
      </c>
      <c r="F334" t="s">
        <v>184</v>
      </c>
      <c r="H334" t="s">
        <v>1371</v>
      </c>
      <c r="K334" t="s">
        <v>620</v>
      </c>
      <c r="L334" t="s">
        <v>555</v>
      </c>
      <c r="M334" t="s">
        <v>188</v>
      </c>
      <c r="N334" s="5" t="s">
        <v>616</v>
      </c>
    </row>
    <row r="335" spans="1:14">
      <c r="A335" t="s">
        <v>1372</v>
      </c>
      <c r="B335" t="s">
        <v>1372</v>
      </c>
      <c r="C335" t="s">
        <v>1372</v>
      </c>
      <c r="D335" t="s">
        <v>1372</v>
      </c>
      <c r="F335" t="s">
        <v>184</v>
      </c>
      <c r="H335" t="s">
        <v>1373</v>
      </c>
      <c r="K335" t="s">
        <v>1374</v>
      </c>
      <c r="L335" t="s">
        <v>762</v>
      </c>
      <c r="M335" t="s">
        <v>188</v>
      </c>
      <c r="N335" s="5" t="s">
        <v>1375</v>
      </c>
    </row>
    <row r="336" spans="1:14">
      <c r="A336" t="s">
        <v>1376</v>
      </c>
      <c r="B336" t="s">
        <v>1376</v>
      </c>
      <c r="C336" t="s">
        <v>1376</v>
      </c>
      <c r="D336" t="s">
        <v>1376</v>
      </c>
      <c r="F336" t="s">
        <v>184</v>
      </c>
      <c r="H336" t="s">
        <v>1377</v>
      </c>
      <c r="K336" t="s">
        <v>925</v>
      </c>
      <c r="L336" t="s">
        <v>909</v>
      </c>
      <c r="M336" t="s">
        <v>188</v>
      </c>
      <c r="N336" s="5" t="s">
        <v>1378</v>
      </c>
    </row>
    <row r="337" spans="1:14">
      <c r="A337" t="s">
        <v>1379</v>
      </c>
      <c r="B337" t="s">
        <v>1379</v>
      </c>
      <c r="C337" t="s">
        <v>1379</v>
      </c>
      <c r="D337" t="s">
        <v>1379</v>
      </c>
      <c r="F337" t="s">
        <v>184</v>
      </c>
      <c r="H337" t="s">
        <v>1380</v>
      </c>
      <c r="K337" t="s">
        <v>1381</v>
      </c>
      <c r="L337" t="s">
        <v>699</v>
      </c>
      <c r="M337" t="s">
        <v>188</v>
      </c>
      <c r="N337" s="5">
        <v>60142</v>
      </c>
    </row>
    <row r="338" spans="1:14">
      <c r="A338" t="s">
        <v>1382</v>
      </c>
      <c r="B338" t="s">
        <v>1382</v>
      </c>
      <c r="C338" t="s">
        <v>1382</v>
      </c>
      <c r="D338" t="s">
        <v>1382</v>
      </c>
      <c r="F338" t="s">
        <v>184</v>
      </c>
      <c r="H338" t="s">
        <v>1383</v>
      </c>
      <c r="K338" t="s">
        <v>1381</v>
      </c>
      <c r="L338" t="s">
        <v>699</v>
      </c>
      <c r="M338" t="s">
        <v>188</v>
      </c>
      <c r="N338" s="5">
        <v>60142</v>
      </c>
    </row>
    <row r="339" spans="1:14">
      <c r="A339" t="s">
        <v>1384</v>
      </c>
      <c r="B339" t="s">
        <v>1384</v>
      </c>
      <c r="C339" t="s">
        <v>1384</v>
      </c>
      <c r="D339" t="s">
        <v>1384</v>
      </c>
      <c r="F339" t="s">
        <v>184</v>
      </c>
      <c r="H339" t="s">
        <v>1385</v>
      </c>
      <c r="K339" t="s">
        <v>904</v>
      </c>
      <c r="L339" t="s">
        <v>900</v>
      </c>
      <c r="M339" t="s">
        <v>188</v>
      </c>
      <c r="N339" s="5">
        <v>38611</v>
      </c>
    </row>
    <row r="340" spans="1:14">
      <c r="A340" t="s">
        <v>1386</v>
      </c>
      <c r="B340" t="s">
        <v>1386</v>
      </c>
      <c r="C340" t="s">
        <v>1386</v>
      </c>
      <c r="D340" t="s">
        <v>1386</v>
      </c>
      <c r="F340" t="s">
        <v>184</v>
      </c>
      <c r="H340" t="s">
        <v>1387</v>
      </c>
      <c r="K340" t="s">
        <v>1388</v>
      </c>
      <c r="L340" t="s">
        <v>497</v>
      </c>
      <c r="M340" t="s">
        <v>188</v>
      </c>
      <c r="N340" s="5">
        <v>85307</v>
      </c>
    </row>
    <row r="341" spans="1:14">
      <c r="A341" t="s">
        <v>1389</v>
      </c>
      <c r="B341" t="s">
        <v>1389</v>
      </c>
      <c r="C341" t="s">
        <v>1389</v>
      </c>
      <c r="D341" t="s">
        <v>1389</v>
      </c>
      <c r="F341" t="s">
        <v>184</v>
      </c>
      <c r="H341" t="s">
        <v>1390</v>
      </c>
      <c r="K341" t="s">
        <v>991</v>
      </c>
      <c r="L341" t="s">
        <v>951</v>
      </c>
      <c r="M341" t="s">
        <v>188</v>
      </c>
      <c r="N341" s="5">
        <v>32206</v>
      </c>
    </row>
    <row r="342" spans="1:14">
      <c r="A342" t="s">
        <v>1391</v>
      </c>
      <c r="B342" t="s">
        <v>1391</v>
      </c>
      <c r="C342" t="s">
        <v>1391</v>
      </c>
      <c r="D342" t="s">
        <v>1391</v>
      </c>
      <c r="F342" t="s">
        <v>184</v>
      </c>
      <c r="H342" t="s">
        <v>1341</v>
      </c>
      <c r="K342" t="s">
        <v>1392</v>
      </c>
      <c r="L342" t="s">
        <v>1002</v>
      </c>
      <c r="M342" t="s">
        <v>188</v>
      </c>
      <c r="N342" s="5">
        <v>30325</v>
      </c>
    </row>
    <row r="343" spans="1:14">
      <c r="A343" t="s">
        <v>1393</v>
      </c>
      <c r="B343" t="s">
        <v>1393</v>
      </c>
      <c r="C343" t="s">
        <v>1393</v>
      </c>
      <c r="D343" t="s">
        <v>1393</v>
      </c>
      <c r="F343" t="s">
        <v>184</v>
      </c>
      <c r="H343" t="s">
        <v>1394</v>
      </c>
      <c r="K343" t="s">
        <v>1395</v>
      </c>
      <c r="L343" t="s">
        <v>332</v>
      </c>
      <c r="M343" t="s">
        <v>188</v>
      </c>
      <c r="N343" s="5">
        <v>92344</v>
      </c>
    </row>
    <row r="344" spans="1:14">
      <c r="A344" t="s">
        <v>1391</v>
      </c>
      <c r="B344" t="s">
        <v>1391</v>
      </c>
      <c r="C344" t="s">
        <v>1391</v>
      </c>
      <c r="D344" t="s">
        <v>1391</v>
      </c>
      <c r="F344" t="s">
        <v>184</v>
      </c>
      <c r="H344" t="s">
        <v>1341</v>
      </c>
      <c r="K344" s="10" t="s">
        <v>1392</v>
      </c>
      <c r="L344" s="10" t="s">
        <v>1002</v>
      </c>
      <c r="M344" s="10" t="s">
        <v>188</v>
      </c>
      <c r="N344" s="10" t="s">
        <v>1396</v>
      </c>
    </row>
    <row r="345" spans="1:14">
      <c r="A345" t="s">
        <v>1389</v>
      </c>
      <c r="B345" t="s">
        <v>1389</v>
      </c>
      <c r="C345" t="s">
        <v>1389</v>
      </c>
      <c r="D345" t="s">
        <v>1389</v>
      </c>
      <c r="F345" t="s">
        <v>184</v>
      </c>
      <c r="H345" t="s">
        <v>1390</v>
      </c>
      <c r="K345" s="10" t="s">
        <v>991</v>
      </c>
      <c r="L345" s="10" t="s">
        <v>951</v>
      </c>
      <c r="M345" s="10" t="s">
        <v>188</v>
      </c>
      <c r="N345" s="10" t="s">
        <v>1397</v>
      </c>
    </row>
    <row r="346" spans="1:14">
      <c r="A346" t="s">
        <v>1386</v>
      </c>
      <c r="B346" t="s">
        <v>1386</v>
      </c>
      <c r="C346" t="s">
        <v>1386</v>
      </c>
      <c r="D346" t="s">
        <v>1386</v>
      </c>
      <c r="F346" t="s">
        <v>184</v>
      </c>
      <c r="H346" t="s">
        <v>1387</v>
      </c>
      <c r="K346" s="10" t="s">
        <v>1388</v>
      </c>
      <c r="L346" s="10" t="s">
        <v>497</v>
      </c>
      <c r="M346" s="10" t="s">
        <v>188</v>
      </c>
      <c r="N346" s="10" t="s">
        <v>1398</v>
      </c>
    </row>
    <row r="347" spans="1:14">
      <c r="A347" t="s">
        <v>1384</v>
      </c>
      <c r="B347" t="s">
        <v>1384</v>
      </c>
      <c r="C347" t="s">
        <v>1384</v>
      </c>
      <c r="D347" t="s">
        <v>1384</v>
      </c>
      <c r="F347" t="s">
        <v>184</v>
      </c>
      <c r="H347" t="s">
        <v>1385</v>
      </c>
      <c r="K347" s="10" t="s">
        <v>904</v>
      </c>
      <c r="L347" s="10" t="s">
        <v>900</v>
      </c>
      <c r="M347" s="10" t="s">
        <v>188</v>
      </c>
      <c r="N347" s="10" t="s">
        <v>905</v>
      </c>
    </row>
    <row r="348" spans="1:14">
      <c r="A348" t="s">
        <v>1382</v>
      </c>
      <c r="B348" t="s">
        <v>1382</v>
      </c>
      <c r="C348" t="s">
        <v>1382</v>
      </c>
      <c r="D348" t="s">
        <v>1382</v>
      </c>
      <c r="F348" t="s">
        <v>184</v>
      </c>
      <c r="H348" t="s">
        <v>1383</v>
      </c>
      <c r="K348" s="10" t="s">
        <v>1381</v>
      </c>
      <c r="L348" s="10" t="s">
        <v>699</v>
      </c>
      <c r="M348" s="10" t="s">
        <v>188</v>
      </c>
      <c r="N348" s="10" t="s">
        <v>1399</v>
      </c>
    </row>
    <row r="349" spans="1:14">
      <c r="A349" t="s">
        <v>1400</v>
      </c>
      <c r="B349" t="s">
        <v>1400</v>
      </c>
      <c r="C349" t="s">
        <v>1400</v>
      </c>
      <c r="D349" t="s">
        <v>1400</v>
      </c>
      <c r="F349" t="s">
        <v>184</v>
      </c>
      <c r="H349" t="s">
        <v>1401</v>
      </c>
      <c r="K349" s="10" t="s">
        <v>1402</v>
      </c>
      <c r="L349" s="10" t="s">
        <v>779</v>
      </c>
      <c r="M349" s="10" t="s">
        <v>188</v>
      </c>
      <c r="N349" s="10">
        <v>46307</v>
      </c>
    </row>
    <row r="350" spans="1:14">
      <c r="A350" t="s">
        <v>1403</v>
      </c>
      <c r="B350" t="s">
        <v>1403</v>
      </c>
      <c r="C350" t="s">
        <v>1403</v>
      </c>
      <c r="D350" t="s">
        <v>1403</v>
      </c>
      <c r="F350" t="s">
        <v>184</v>
      </c>
      <c r="H350" t="s">
        <v>1404</v>
      </c>
      <c r="K350" s="10" t="s">
        <v>1405</v>
      </c>
      <c r="L350" s="10" t="s">
        <v>951</v>
      </c>
      <c r="M350" s="10" t="s">
        <v>188</v>
      </c>
      <c r="N350" s="10" t="s">
        <v>1406</v>
      </c>
    </row>
    <row r="351" spans="1:14">
      <c r="A351" t="s">
        <v>1407</v>
      </c>
      <c r="B351" t="s">
        <v>1407</v>
      </c>
      <c r="C351" t="s">
        <v>1407</v>
      </c>
      <c r="D351" t="s">
        <v>1407</v>
      </c>
      <c r="F351" t="s">
        <v>184</v>
      </c>
      <c r="H351" t="s">
        <v>1408</v>
      </c>
      <c r="K351" s="10" t="s">
        <v>435</v>
      </c>
      <c r="L351" s="10" t="s">
        <v>332</v>
      </c>
      <c r="M351" s="10" t="s">
        <v>188</v>
      </c>
      <c r="N351" s="10" t="s">
        <v>1409</v>
      </c>
    </row>
    <row r="352" spans="1:14">
      <c r="A352" t="s">
        <v>1410</v>
      </c>
      <c r="B352" t="s">
        <v>1410</v>
      </c>
      <c r="C352" t="s">
        <v>1410</v>
      </c>
      <c r="D352" t="s">
        <v>1410</v>
      </c>
      <c r="F352" t="s">
        <v>184</v>
      </c>
      <c r="H352" t="s">
        <v>1411</v>
      </c>
      <c r="K352" s="10" t="s">
        <v>1412</v>
      </c>
      <c r="L352" s="10" t="s">
        <v>332</v>
      </c>
      <c r="M352" s="10" t="s">
        <v>188</v>
      </c>
      <c r="N352" s="10" t="s">
        <v>1413</v>
      </c>
    </row>
    <row r="353" spans="1:14">
      <c r="A353" t="s">
        <v>1414</v>
      </c>
      <c r="B353" t="s">
        <v>1414</v>
      </c>
      <c r="C353" t="s">
        <v>1414</v>
      </c>
      <c r="D353" t="s">
        <v>1414</v>
      </c>
      <c r="F353" t="s">
        <v>184</v>
      </c>
      <c r="H353" t="s">
        <v>1415</v>
      </c>
      <c r="K353" t="s">
        <v>459</v>
      </c>
      <c r="L353" t="s">
        <v>332</v>
      </c>
      <c r="M353" s="10" t="s">
        <v>188</v>
      </c>
      <c r="N353" s="5" t="s">
        <v>1416</v>
      </c>
    </row>
    <row r="354" spans="1:14">
      <c r="A354" t="s">
        <v>1417</v>
      </c>
      <c r="B354" t="s">
        <v>1417</v>
      </c>
      <c r="C354" t="s">
        <v>1417</v>
      </c>
      <c r="D354" t="s">
        <v>1417</v>
      </c>
      <c r="F354" t="s">
        <v>184</v>
      </c>
      <c r="H354" t="s">
        <v>1418</v>
      </c>
      <c r="K354" t="s">
        <v>459</v>
      </c>
      <c r="L354" t="s">
        <v>332</v>
      </c>
      <c r="M354" s="10" t="s">
        <v>188</v>
      </c>
      <c r="N354" s="5" t="s">
        <v>1416</v>
      </c>
    </row>
    <row r="355" spans="1:14">
      <c r="A355" t="s">
        <v>1419</v>
      </c>
      <c r="B355" t="s">
        <v>1419</v>
      </c>
      <c r="C355" t="s">
        <v>1419</v>
      </c>
      <c r="D355" t="s">
        <v>1419</v>
      </c>
      <c r="F355" t="s">
        <v>184</v>
      </c>
      <c r="H355" t="s">
        <v>1420</v>
      </c>
      <c r="K355" t="s">
        <v>501</v>
      </c>
      <c r="L355" t="s">
        <v>497</v>
      </c>
      <c r="M355" s="10" t="s">
        <v>188</v>
      </c>
      <c r="N355" s="5" t="s">
        <v>502</v>
      </c>
    </row>
    <row r="356" spans="1:14">
      <c r="A356" t="s">
        <v>1421</v>
      </c>
      <c r="B356" t="s">
        <v>1421</v>
      </c>
      <c r="C356" t="s">
        <v>1421</v>
      </c>
      <c r="D356" t="s">
        <v>1421</v>
      </c>
      <c r="F356" t="s">
        <v>184</v>
      </c>
      <c r="H356" t="s">
        <v>1422</v>
      </c>
      <c r="K356" t="s">
        <v>1423</v>
      </c>
      <c r="L356" t="s">
        <v>332</v>
      </c>
      <c r="M356" s="10" t="s">
        <v>188</v>
      </c>
      <c r="N356" s="5" t="s">
        <v>400</v>
      </c>
    </row>
    <row r="357" spans="1:14">
      <c r="A357" t="s">
        <v>1424</v>
      </c>
      <c r="B357" t="s">
        <v>1424</v>
      </c>
      <c r="C357" t="s">
        <v>1424</v>
      </c>
      <c r="D357" t="s">
        <v>1424</v>
      </c>
      <c r="F357" t="s">
        <v>184</v>
      </c>
      <c r="H357" t="s">
        <v>1425</v>
      </c>
      <c r="K357" t="s">
        <v>1124</v>
      </c>
      <c r="L357" t="s">
        <v>1131</v>
      </c>
      <c r="M357" s="10" t="s">
        <v>188</v>
      </c>
      <c r="N357" s="5" t="s">
        <v>1349</v>
      </c>
    </row>
    <row r="358" spans="1:14">
      <c r="A358" t="s">
        <v>1426</v>
      </c>
      <c r="B358" t="s">
        <v>1426</v>
      </c>
      <c r="C358" t="s">
        <v>1426</v>
      </c>
      <c r="D358" t="s">
        <v>1426</v>
      </c>
      <c r="F358" t="s">
        <v>184</v>
      </c>
      <c r="H358" t="s">
        <v>1427</v>
      </c>
      <c r="K358" t="s">
        <v>1428</v>
      </c>
      <c r="L358" t="s">
        <v>1131</v>
      </c>
      <c r="M358" s="10" t="s">
        <v>188</v>
      </c>
      <c r="N358" s="5" t="s">
        <v>1429</v>
      </c>
    </row>
    <row r="359" spans="1:14">
      <c r="A359" t="s">
        <v>1430</v>
      </c>
      <c r="B359" t="s">
        <v>1430</v>
      </c>
      <c r="C359" t="s">
        <v>1430</v>
      </c>
      <c r="D359" t="s">
        <v>1430</v>
      </c>
      <c r="F359" t="s">
        <v>184</v>
      </c>
      <c r="H359" t="s">
        <v>1331</v>
      </c>
      <c r="K359" t="s">
        <v>1431</v>
      </c>
      <c r="L359" t="s">
        <v>1131</v>
      </c>
      <c r="M359" s="10" t="s">
        <v>188</v>
      </c>
      <c r="N359" s="5" t="s">
        <v>1432</v>
      </c>
    </row>
    <row r="360" spans="1:14">
      <c r="A360" t="s">
        <v>1433</v>
      </c>
      <c r="B360" t="s">
        <v>1433</v>
      </c>
      <c r="C360" t="s">
        <v>1433</v>
      </c>
      <c r="D360" t="s">
        <v>1433</v>
      </c>
      <c r="F360" t="s">
        <v>184</v>
      </c>
      <c r="H360" t="s">
        <v>1434</v>
      </c>
      <c r="K360" t="s">
        <v>1435</v>
      </c>
      <c r="L360" t="s">
        <v>332</v>
      </c>
      <c r="M360" s="10" t="s">
        <v>188</v>
      </c>
      <c r="N360" s="5" t="s">
        <v>383</v>
      </c>
    </row>
    <row r="361" spans="1:14">
      <c r="A361" t="s">
        <v>1436</v>
      </c>
      <c r="B361" t="s">
        <v>1436</v>
      </c>
      <c r="C361" t="s">
        <v>1436</v>
      </c>
      <c r="D361" t="s">
        <v>1436</v>
      </c>
      <c r="F361" t="s">
        <v>184</v>
      </c>
      <c r="H361" t="s">
        <v>1437</v>
      </c>
      <c r="K361" t="s">
        <v>399</v>
      </c>
      <c r="L361" t="s">
        <v>332</v>
      </c>
      <c r="M361" s="10" t="s">
        <v>188</v>
      </c>
      <c r="N361" s="5" t="s">
        <v>1438</v>
      </c>
    </row>
    <row r="362" spans="1:14">
      <c r="A362" t="s">
        <v>1439</v>
      </c>
      <c r="B362" t="s">
        <v>1439</v>
      </c>
      <c r="C362" t="s">
        <v>1439</v>
      </c>
      <c r="D362" t="s">
        <v>1439</v>
      </c>
      <c r="F362" t="s">
        <v>184</v>
      </c>
      <c r="H362" t="s">
        <v>1440</v>
      </c>
      <c r="K362" t="s">
        <v>1441</v>
      </c>
      <c r="L362" t="s">
        <v>332</v>
      </c>
      <c r="M362" s="10" t="s">
        <v>188</v>
      </c>
      <c r="N362" s="5" t="s">
        <v>1442</v>
      </c>
    </row>
    <row r="363" spans="1:14">
      <c r="A363" t="s">
        <v>1443</v>
      </c>
      <c r="B363" t="s">
        <v>1443</v>
      </c>
      <c r="C363" t="s">
        <v>1443</v>
      </c>
      <c r="D363" t="s">
        <v>1443</v>
      </c>
      <c r="F363" t="s">
        <v>184</v>
      </c>
      <c r="H363" t="s">
        <v>1444</v>
      </c>
      <c r="K363" t="s">
        <v>358</v>
      </c>
      <c r="L363" t="s">
        <v>332</v>
      </c>
      <c r="M363" s="10" t="s">
        <v>188</v>
      </c>
      <c r="N363" s="5" t="s">
        <v>359</v>
      </c>
    </row>
    <row r="364" spans="1:14">
      <c r="A364" t="s">
        <v>1445</v>
      </c>
      <c r="B364" t="s">
        <v>1445</v>
      </c>
      <c r="C364" t="s">
        <v>1445</v>
      </c>
      <c r="D364" t="s">
        <v>1445</v>
      </c>
      <c r="F364" t="s">
        <v>184</v>
      </c>
      <c r="H364" t="s">
        <v>1446</v>
      </c>
      <c r="K364" t="s">
        <v>358</v>
      </c>
      <c r="L364" t="s">
        <v>332</v>
      </c>
      <c r="M364" s="10" t="s">
        <v>188</v>
      </c>
      <c r="N364" s="5">
        <v>95206</v>
      </c>
    </row>
    <row r="365" spans="1:14">
      <c r="A365" t="s">
        <v>1447</v>
      </c>
      <c r="B365" t="s">
        <v>1447</v>
      </c>
      <c r="C365" t="s">
        <v>1447</v>
      </c>
      <c r="D365" t="s">
        <v>1447</v>
      </c>
      <c r="F365" t="s">
        <v>184</v>
      </c>
      <c r="H365" t="s">
        <v>1448</v>
      </c>
      <c r="K365" t="s">
        <v>1449</v>
      </c>
      <c r="L365" t="s">
        <v>1039</v>
      </c>
      <c r="M365" s="10" t="s">
        <v>188</v>
      </c>
      <c r="N365" s="5">
        <v>29330</v>
      </c>
    </row>
    <row r="366" spans="1:14">
      <c r="A366" t="s">
        <v>1450</v>
      </c>
      <c r="B366" t="s">
        <v>1450</v>
      </c>
      <c r="C366" t="s">
        <v>1450</v>
      </c>
      <c r="D366" t="s">
        <v>1450</v>
      </c>
      <c r="F366" t="s">
        <v>184</v>
      </c>
      <c r="H366" t="s">
        <v>1451</v>
      </c>
      <c r="K366" t="s">
        <v>1452</v>
      </c>
      <c r="L366" t="s">
        <v>1131</v>
      </c>
      <c r="M366" s="10" t="s">
        <v>188</v>
      </c>
      <c r="N366" s="5">
        <v>17225</v>
      </c>
    </row>
    <row r="367" spans="1:14">
      <c r="A367" t="s">
        <v>1453</v>
      </c>
      <c r="B367" t="s">
        <v>1453</v>
      </c>
      <c r="C367" t="s">
        <v>1453</v>
      </c>
      <c r="D367" t="s">
        <v>1453</v>
      </c>
      <c r="F367" t="s">
        <v>184</v>
      </c>
      <c r="H367" t="s">
        <v>1454</v>
      </c>
      <c r="K367" t="s">
        <v>1455</v>
      </c>
      <c r="L367" t="s">
        <v>1091</v>
      </c>
      <c r="M367" s="10" t="s">
        <v>188</v>
      </c>
      <c r="N367" s="5">
        <v>21901</v>
      </c>
    </row>
    <row r="368" spans="1:14">
      <c r="A368" t="s">
        <v>1456</v>
      </c>
      <c r="B368" t="s">
        <v>1456</v>
      </c>
      <c r="C368" t="s">
        <v>1456</v>
      </c>
      <c r="D368" t="s">
        <v>1456</v>
      </c>
      <c r="F368" t="s">
        <v>184</v>
      </c>
      <c r="H368" t="s">
        <v>1457</v>
      </c>
      <c r="K368" t="s">
        <v>1458</v>
      </c>
      <c r="L368" t="s">
        <v>332</v>
      </c>
      <c r="M368" s="10" t="s">
        <v>188</v>
      </c>
      <c r="N368" s="5">
        <v>91761</v>
      </c>
    </row>
    <row r="369" spans="1:14">
      <c r="A369" t="s">
        <v>1459</v>
      </c>
      <c r="B369" t="s">
        <v>1459</v>
      </c>
      <c r="C369" t="s">
        <v>1459</v>
      </c>
      <c r="D369" t="s">
        <v>1459</v>
      </c>
      <c r="F369" t="s">
        <v>184</v>
      </c>
      <c r="H369" t="s">
        <v>1460</v>
      </c>
      <c r="K369" t="s">
        <v>1461</v>
      </c>
      <c r="L369" t="s">
        <v>1131</v>
      </c>
      <c r="M369" s="10" t="s">
        <v>188</v>
      </c>
      <c r="N369" s="5" t="s">
        <v>1462</v>
      </c>
    </row>
    <row r="370" spans="1:14">
      <c r="A370" t="s">
        <v>1463</v>
      </c>
      <c r="B370" t="s">
        <v>1463</v>
      </c>
      <c r="C370" t="s">
        <v>1463</v>
      </c>
      <c r="D370" t="s">
        <v>1463</v>
      </c>
      <c r="F370" t="s">
        <v>184</v>
      </c>
      <c r="H370" t="s">
        <v>1464</v>
      </c>
      <c r="K370" t="s">
        <v>1465</v>
      </c>
      <c r="L370" t="s">
        <v>1002</v>
      </c>
      <c r="M370" s="10" t="s">
        <v>188</v>
      </c>
      <c r="N370" s="5">
        <v>31407</v>
      </c>
    </row>
    <row r="371" spans="1:14">
      <c r="A371" t="s">
        <v>1466</v>
      </c>
      <c r="B371" t="s">
        <v>1466</v>
      </c>
      <c r="C371" t="s">
        <v>1466</v>
      </c>
      <c r="D371" t="s">
        <v>1466</v>
      </c>
      <c r="F371" t="s">
        <v>184</v>
      </c>
      <c r="H371" t="s">
        <v>1358</v>
      </c>
      <c r="K371" t="s">
        <v>1363</v>
      </c>
      <c r="L371" t="s">
        <v>332</v>
      </c>
      <c r="M371" s="10" t="s">
        <v>188</v>
      </c>
      <c r="N371" s="5" t="s">
        <v>1467</v>
      </c>
    </row>
    <row r="372" spans="1:14">
      <c r="A372" t="s">
        <v>1468</v>
      </c>
      <c r="B372" t="s">
        <v>1468</v>
      </c>
      <c r="C372" t="s">
        <v>1468</v>
      </c>
      <c r="D372" t="s">
        <v>1468</v>
      </c>
      <c r="F372" t="s">
        <v>184</v>
      </c>
      <c r="H372" t="s">
        <v>1469</v>
      </c>
      <c r="K372" t="s">
        <v>1470</v>
      </c>
      <c r="L372" t="s">
        <v>332</v>
      </c>
      <c r="M372" s="10" t="s">
        <v>188</v>
      </c>
      <c r="N372" s="5">
        <v>92344</v>
      </c>
    </row>
    <row r="373" spans="1:14">
      <c r="A373" t="s">
        <v>1471</v>
      </c>
      <c r="B373" t="s">
        <v>1471</v>
      </c>
      <c r="C373" t="s">
        <v>1471</v>
      </c>
      <c r="D373" t="s">
        <v>1471</v>
      </c>
      <c r="F373" t="s">
        <v>184</v>
      </c>
      <c r="H373" t="s">
        <v>1472</v>
      </c>
      <c r="K373" t="s">
        <v>508</v>
      </c>
      <c r="L373" t="s">
        <v>497</v>
      </c>
      <c r="M373" s="10" t="s">
        <v>188</v>
      </c>
      <c r="N373" s="5">
        <v>85338</v>
      </c>
    </row>
    <row r="374" spans="1:14">
      <c r="A374" t="s">
        <v>1473</v>
      </c>
      <c r="B374" t="s">
        <v>1473</v>
      </c>
      <c r="C374" t="s">
        <v>1473</v>
      </c>
      <c r="D374" t="s">
        <v>1473</v>
      </c>
      <c r="E374" t="s">
        <v>1474</v>
      </c>
      <c r="F374" t="s">
        <v>184</v>
      </c>
      <c r="H374" t="s">
        <v>1475</v>
      </c>
      <c r="K374" t="s">
        <v>1476</v>
      </c>
      <c r="L374" t="s">
        <v>1002</v>
      </c>
      <c r="M374" s="10" t="s">
        <v>188</v>
      </c>
      <c r="N374" s="5">
        <v>30349</v>
      </c>
    </row>
    <row r="375" spans="1:14">
      <c r="A375" t="s">
        <v>1477</v>
      </c>
      <c r="B375" t="s">
        <v>1477</v>
      </c>
      <c r="C375" t="s">
        <v>1477</v>
      </c>
      <c r="D375" t="s">
        <v>1477</v>
      </c>
      <c r="E375" t="s">
        <v>1474</v>
      </c>
      <c r="F375" t="s">
        <v>184</v>
      </c>
      <c r="H375" t="s">
        <v>1478</v>
      </c>
      <c r="K375" t="s">
        <v>1392</v>
      </c>
      <c r="L375" t="s">
        <v>1002</v>
      </c>
      <c r="M375" s="10" t="s">
        <v>188</v>
      </c>
      <c r="N375" s="5">
        <v>30349</v>
      </c>
    </row>
    <row r="376" spans="1:14">
      <c r="A376" t="s">
        <v>1479</v>
      </c>
      <c r="B376" t="s">
        <v>1480</v>
      </c>
      <c r="C376" t="s">
        <v>1479</v>
      </c>
      <c r="D376" t="s">
        <v>1479</v>
      </c>
      <c r="E376" t="s">
        <v>1481</v>
      </c>
      <c r="F376" t="s">
        <v>184</v>
      </c>
      <c r="H376" s="10" t="s">
        <v>1482</v>
      </c>
      <c r="I376" s="10"/>
      <c r="J376" s="10"/>
      <c r="K376" s="10" t="s">
        <v>603</v>
      </c>
      <c r="L376" s="10" t="s">
        <v>555</v>
      </c>
      <c r="M376" s="10" t="s">
        <v>188</v>
      </c>
      <c r="N376" s="10" t="s">
        <v>595</v>
      </c>
    </row>
    <row r="377" spans="1:14">
      <c r="A377" t="s">
        <v>1483</v>
      </c>
      <c r="B377" t="s">
        <v>1484</v>
      </c>
      <c r="C377" t="s">
        <v>1483</v>
      </c>
      <c r="D377" t="s">
        <v>1483</v>
      </c>
      <c r="E377" t="s">
        <v>1485</v>
      </c>
      <c r="F377" t="s">
        <v>184</v>
      </c>
      <c r="H377" s="10" t="s">
        <v>1486</v>
      </c>
      <c r="I377" s="10"/>
      <c r="J377" s="10"/>
      <c r="K377" s="10" t="s">
        <v>1487</v>
      </c>
      <c r="L377" s="10" t="s">
        <v>555</v>
      </c>
      <c r="M377" s="10" t="s">
        <v>188</v>
      </c>
      <c r="N377" s="10" t="s">
        <v>1488</v>
      </c>
    </row>
    <row r="378" spans="1:14">
      <c r="A378" t="s">
        <v>1489</v>
      </c>
      <c r="B378" t="s">
        <v>1490</v>
      </c>
      <c r="C378" t="s">
        <v>1489</v>
      </c>
      <c r="D378" t="s">
        <v>1489</v>
      </c>
      <c r="E378" t="s">
        <v>1491</v>
      </c>
      <c r="F378" t="s">
        <v>184</v>
      </c>
      <c r="H378" s="10" t="s">
        <v>1492</v>
      </c>
      <c r="I378" s="10"/>
      <c r="J378" s="10"/>
      <c r="K378" s="10" t="s">
        <v>797</v>
      </c>
      <c r="L378" s="10" t="s">
        <v>779</v>
      </c>
      <c r="M378" s="10" t="s">
        <v>188</v>
      </c>
      <c r="N378" s="10" t="s">
        <v>798</v>
      </c>
    </row>
    <row r="379" spans="1:14">
      <c r="A379" t="s">
        <v>1493</v>
      </c>
      <c r="B379" t="s">
        <v>1493</v>
      </c>
      <c r="C379" t="s">
        <v>1493</v>
      </c>
      <c r="D379" t="s">
        <v>1493</v>
      </c>
      <c r="E379" t="s">
        <v>1494</v>
      </c>
      <c r="F379" t="s">
        <v>184</v>
      </c>
      <c r="H379" s="10" t="s">
        <v>1495</v>
      </c>
      <c r="I379" s="10"/>
      <c r="J379" s="10"/>
      <c r="K379" s="10" t="s">
        <v>1496</v>
      </c>
      <c r="L379" s="10" t="s">
        <v>858</v>
      </c>
      <c r="M379" s="10" t="s">
        <v>188</v>
      </c>
      <c r="N379" s="10" t="s">
        <v>890</v>
      </c>
    </row>
    <row r="380" spans="1:14">
      <c r="A380" t="s">
        <v>1497</v>
      </c>
      <c r="B380" t="s">
        <v>1498</v>
      </c>
      <c r="C380" t="s">
        <v>1497</v>
      </c>
      <c r="D380" t="s">
        <v>1497</v>
      </c>
      <c r="E380" t="s">
        <v>1499</v>
      </c>
      <c r="F380" t="s">
        <v>184</v>
      </c>
      <c r="H380" s="10" t="s">
        <v>1500</v>
      </c>
      <c r="I380" s="10"/>
      <c r="J380" s="10"/>
      <c r="K380" s="10" t="s">
        <v>1501</v>
      </c>
      <c r="L380" s="10" t="s">
        <v>665</v>
      </c>
      <c r="M380" s="10" t="s">
        <v>188</v>
      </c>
      <c r="N380" s="10" t="s">
        <v>1502</v>
      </c>
    </row>
    <row r="381" spans="1:14">
      <c r="A381" t="s">
        <v>1503</v>
      </c>
      <c r="B381" t="s">
        <v>1504</v>
      </c>
      <c r="C381" t="s">
        <v>1503</v>
      </c>
      <c r="D381" t="s">
        <v>1503</v>
      </c>
      <c r="E381" t="s">
        <v>1505</v>
      </c>
      <c r="F381" t="s">
        <v>184</v>
      </c>
      <c r="H381" s="10" t="s">
        <v>1506</v>
      </c>
      <c r="I381" s="10"/>
      <c r="J381" s="10"/>
      <c r="K381" s="10" t="s">
        <v>1507</v>
      </c>
      <c r="L381" s="10" t="s">
        <v>951</v>
      </c>
      <c r="M381" s="10" t="s">
        <v>188</v>
      </c>
      <c r="N381" s="10" t="s">
        <v>1508</v>
      </c>
    </row>
    <row r="382" spans="1:14">
      <c r="A382" t="s">
        <v>1509</v>
      </c>
      <c r="B382" t="s">
        <v>1510</v>
      </c>
      <c r="C382" t="s">
        <v>1509</v>
      </c>
      <c r="D382" t="s">
        <v>1509</v>
      </c>
      <c r="E382" t="s">
        <v>1511</v>
      </c>
      <c r="F382" t="s">
        <v>184</v>
      </c>
      <c r="H382" s="10" t="s">
        <v>1512</v>
      </c>
      <c r="I382" s="10"/>
      <c r="J382" s="10"/>
      <c r="K382" s="10" t="s">
        <v>1513</v>
      </c>
      <c r="L382" s="10" t="s">
        <v>900</v>
      </c>
      <c r="M382" s="10" t="s">
        <v>188</v>
      </c>
      <c r="N382" s="10" t="s">
        <v>901</v>
      </c>
    </row>
    <row r="383" spans="1:14">
      <c r="A383" t="s">
        <v>1514</v>
      </c>
      <c r="B383" t="s">
        <v>1514</v>
      </c>
      <c r="C383" t="s">
        <v>1514</v>
      </c>
      <c r="D383" t="s">
        <v>1514</v>
      </c>
      <c r="E383" t="s">
        <v>1515</v>
      </c>
      <c r="F383" t="s">
        <v>184</v>
      </c>
      <c r="H383" s="10" t="s">
        <v>1516</v>
      </c>
      <c r="I383" s="10"/>
      <c r="J383" s="10"/>
      <c r="K383" s="10" t="s">
        <v>1517</v>
      </c>
      <c r="L383" s="10" t="s">
        <v>187</v>
      </c>
      <c r="M383" s="10" t="s">
        <v>188</v>
      </c>
      <c r="N383" s="10" t="s">
        <v>1518</v>
      </c>
    </row>
    <row r="384" spans="1:14">
      <c r="A384" t="s">
        <v>1519</v>
      </c>
      <c r="B384" t="s">
        <v>1520</v>
      </c>
      <c r="C384" t="s">
        <v>1519</v>
      </c>
      <c r="D384" t="s">
        <v>1519</v>
      </c>
      <c r="E384" t="s">
        <v>1521</v>
      </c>
      <c r="F384" t="s">
        <v>184</v>
      </c>
      <c r="H384" s="10" t="s">
        <v>1522</v>
      </c>
      <c r="I384" s="10"/>
      <c r="J384" s="10"/>
      <c r="K384" s="10" t="s">
        <v>1523</v>
      </c>
      <c r="L384" s="10" t="s">
        <v>699</v>
      </c>
      <c r="M384" s="10" t="s">
        <v>188</v>
      </c>
      <c r="N384" s="10" t="s">
        <v>1524</v>
      </c>
    </row>
    <row r="385" spans="1:14">
      <c r="A385" t="s">
        <v>1525</v>
      </c>
      <c r="B385" t="s">
        <v>1526</v>
      </c>
      <c r="C385" t="s">
        <v>1525</v>
      </c>
      <c r="D385" t="s">
        <v>1525</v>
      </c>
      <c r="E385" t="s">
        <v>1527</v>
      </c>
      <c r="F385" t="s">
        <v>184</v>
      </c>
      <c r="H385" s="10" t="s">
        <v>1528</v>
      </c>
      <c r="I385" s="10"/>
      <c r="J385" s="10"/>
      <c r="K385" s="10" t="s">
        <v>1529</v>
      </c>
      <c r="L385" s="10" t="s">
        <v>1131</v>
      </c>
      <c r="M385" s="10" t="s">
        <v>188</v>
      </c>
      <c r="N385" s="10" t="s">
        <v>1530</v>
      </c>
    </row>
    <row r="386" spans="1:14">
      <c r="A386" t="s">
        <v>1531</v>
      </c>
      <c r="B386" t="s">
        <v>1532</v>
      </c>
      <c r="C386" t="s">
        <v>1531</v>
      </c>
      <c r="D386" t="s">
        <v>1531</v>
      </c>
      <c r="E386" t="s">
        <v>1533</v>
      </c>
      <c r="F386" t="s">
        <v>184</v>
      </c>
      <c r="H386" s="10" t="s">
        <v>1534</v>
      </c>
      <c r="I386" s="10"/>
      <c r="J386" s="10"/>
      <c r="K386" s="10" t="s">
        <v>1535</v>
      </c>
      <c r="L386" s="10" t="s">
        <v>1131</v>
      </c>
      <c r="M386" s="10" t="s">
        <v>188</v>
      </c>
      <c r="N386" s="10" t="s">
        <v>1536</v>
      </c>
    </row>
    <row r="387" spans="1:14">
      <c r="A387" t="s">
        <v>1537</v>
      </c>
      <c r="B387" t="s">
        <v>1538</v>
      </c>
      <c r="C387" t="s">
        <v>1537</v>
      </c>
      <c r="D387" t="s">
        <v>1537</v>
      </c>
      <c r="E387" t="s">
        <v>1539</v>
      </c>
      <c r="F387" t="s">
        <v>184</v>
      </c>
      <c r="H387" s="10" t="s">
        <v>1540</v>
      </c>
      <c r="I387" s="10"/>
      <c r="J387" s="10"/>
      <c r="K387" s="10" t="s">
        <v>1452</v>
      </c>
      <c r="L387" s="10" t="s">
        <v>1131</v>
      </c>
      <c r="M387" s="10" t="s">
        <v>188</v>
      </c>
      <c r="N387" s="10" t="s">
        <v>1541</v>
      </c>
    </row>
    <row r="388" spans="1:14">
      <c r="A388" t="s">
        <v>1542</v>
      </c>
      <c r="B388" t="s">
        <v>1542</v>
      </c>
      <c r="C388" t="s">
        <v>1542</v>
      </c>
      <c r="D388" t="s">
        <v>1542</v>
      </c>
      <c r="E388" t="s">
        <v>1543</v>
      </c>
      <c r="F388" t="s">
        <v>184</v>
      </c>
      <c r="H388" s="10" t="s">
        <v>1544</v>
      </c>
      <c r="I388" s="10"/>
      <c r="J388" s="10"/>
      <c r="K388" s="10" t="s">
        <v>1545</v>
      </c>
      <c r="L388" s="10" t="s">
        <v>497</v>
      </c>
      <c r="M388" s="10" t="s">
        <v>188</v>
      </c>
      <c r="N388" s="10" t="s">
        <v>1369</v>
      </c>
    </row>
    <row r="389" spans="1:14">
      <c r="A389" t="s">
        <v>1546</v>
      </c>
      <c r="B389" t="s">
        <v>1546</v>
      </c>
      <c r="C389" t="s">
        <v>1546</v>
      </c>
      <c r="D389" t="s">
        <v>1546</v>
      </c>
      <c r="E389" t="s">
        <v>1546</v>
      </c>
      <c r="F389" t="s">
        <v>184</v>
      </c>
      <c r="H389" s="10" t="s">
        <v>1547</v>
      </c>
      <c r="I389" s="10"/>
      <c r="J389" s="10"/>
      <c r="K389" s="10" t="s">
        <v>1548</v>
      </c>
      <c r="L389" s="10" t="s">
        <v>951</v>
      </c>
      <c r="M389" s="10" t="s">
        <v>188</v>
      </c>
      <c r="N389" s="10" t="s">
        <v>1549</v>
      </c>
    </row>
    <row r="390" spans="1:14">
      <c r="A390" t="s">
        <v>1550</v>
      </c>
      <c r="B390" t="s">
        <v>1551</v>
      </c>
      <c r="C390" t="s">
        <v>1550</v>
      </c>
      <c r="D390" t="s">
        <v>1550</v>
      </c>
      <c r="E390" t="s">
        <v>1550</v>
      </c>
      <c r="F390" t="s">
        <v>184</v>
      </c>
      <c r="H390" s="10" t="s">
        <v>1552</v>
      </c>
      <c r="I390" s="10"/>
      <c r="J390" s="10"/>
      <c r="K390" s="10" t="s">
        <v>1553</v>
      </c>
      <c r="L390" s="10" t="s">
        <v>779</v>
      </c>
      <c r="M390" s="10" t="s">
        <v>188</v>
      </c>
      <c r="N390" s="10" t="s">
        <v>1554</v>
      </c>
    </row>
    <row r="391" spans="1:14">
      <c r="A391" t="s">
        <v>1555</v>
      </c>
      <c r="B391" t="s">
        <v>1555</v>
      </c>
      <c r="C391" t="s">
        <v>1555</v>
      </c>
      <c r="D391" t="s">
        <v>1555</v>
      </c>
      <c r="E391" t="s">
        <v>1555</v>
      </c>
      <c r="F391" t="s">
        <v>184</v>
      </c>
      <c r="H391" s="10" t="s">
        <v>1556</v>
      </c>
      <c r="I391" s="10"/>
      <c r="J391" s="10"/>
      <c r="K391" s="10" t="s">
        <v>570</v>
      </c>
      <c r="L391" s="10" t="s">
        <v>332</v>
      </c>
      <c r="M391" s="10" t="s">
        <v>188</v>
      </c>
      <c r="N391" s="10" t="s">
        <v>1557</v>
      </c>
    </row>
    <row r="392" spans="1:14">
      <c r="A392" t="s">
        <v>1558</v>
      </c>
      <c r="B392" t="s">
        <v>1559</v>
      </c>
      <c r="C392" t="s">
        <v>1558</v>
      </c>
      <c r="D392" t="s">
        <v>1558</v>
      </c>
      <c r="E392" t="s">
        <v>1558</v>
      </c>
      <c r="F392" t="s">
        <v>184</v>
      </c>
      <c r="H392" s="10" t="s">
        <v>1560</v>
      </c>
      <c r="I392" s="10"/>
      <c r="J392" s="10"/>
      <c r="K392" s="10" t="s">
        <v>1561</v>
      </c>
      <c r="L392" s="10" t="s">
        <v>555</v>
      </c>
      <c r="M392" s="10" t="s">
        <v>188</v>
      </c>
      <c r="N392" s="10">
        <v>76052</v>
      </c>
    </row>
    <row r="393" spans="1:14">
      <c r="A393" t="s">
        <v>1562</v>
      </c>
      <c r="B393" t="s">
        <v>1562</v>
      </c>
      <c r="C393" t="s">
        <v>1562</v>
      </c>
      <c r="D393" t="s">
        <v>1562</v>
      </c>
      <c r="E393" t="s">
        <v>183</v>
      </c>
      <c r="F393" t="s">
        <v>184</v>
      </c>
      <c r="H393" t="s">
        <v>1563</v>
      </c>
      <c r="K393" t="s">
        <v>559</v>
      </c>
      <c r="L393" s="10" t="s">
        <v>555</v>
      </c>
      <c r="M393" s="10" t="s">
        <v>188</v>
      </c>
      <c r="N393" s="5">
        <v>78666</v>
      </c>
    </row>
    <row r="394" spans="1:14">
      <c r="A394" t="s">
        <v>1564</v>
      </c>
      <c r="B394" t="s">
        <v>1564</v>
      </c>
      <c r="C394" t="s">
        <v>1564</v>
      </c>
      <c r="D394" t="s">
        <v>1564</v>
      </c>
      <c r="E394" t="s">
        <v>1564</v>
      </c>
      <c r="F394" t="s">
        <v>184</v>
      </c>
      <c r="H394" t="s">
        <v>1565</v>
      </c>
      <c r="K394" t="s">
        <v>1566</v>
      </c>
      <c r="L394" t="s">
        <v>187</v>
      </c>
      <c r="M394" s="10" t="s">
        <v>188</v>
      </c>
      <c r="N394" s="55" t="s">
        <v>1567</v>
      </c>
    </row>
    <row r="395" spans="1:14">
      <c r="A395" t="s">
        <v>1568</v>
      </c>
      <c r="B395" t="s">
        <v>1568</v>
      </c>
      <c r="C395" t="s">
        <v>1568</v>
      </c>
      <c r="D395" t="s">
        <v>1568</v>
      </c>
      <c r="E395" t="s">
        <v>1568</v>
      </c>
      <c r="F395" t="s">
        <v>184</v>
      </c>
      <c r="H395" t="s">
        <v>1569</v>
      </c>
      <c r="K395" t="s">
        <v>1570</v>
      </c>
      <c r="L395" t="s">
        <v>332</v>
      </c>
      <c r="M395" s="10" t="s">
        <v>188</v>
      </c>
      <c r="N395" s="5">
        <v>95742</v>
      </c>
    </row>
    <row r="396" spans="1:14">
      <c r="A396" t="s">
        <v>1571</v>
      </c>
      <c r="B396" t="s">
        <v>1571</v>
      </c>
      <c r="C396" t="s">
        <v>1571</v>
      </c>
      <c r="D396" t="s">
        <v>1571</v>
      </c>
      <c r="E396" t="s">
        <v>1571</v>
      </c>
      <c r="F396" t="s">
        <v>184</v>
      </c>
      <c r="H396" t="s">
        <v>1572</v>
      </c>
      <c r="K396" t="s">
        <v>943</v>
      </c>
      <c r="L396" t="s">
        <v>940</v>
      </c>
      <c r="M396" s="10" t="s">
        <v>188</v>
      </c>
      <c r="N396" s="5">
        <v>35756</v>
      </c>
    </row>
    <row r="397" spans="1:14">
      <c r="A397" t="s">
        <v>1573</v>
      </c>
      <c r="B397" t="s">
        <v>1573</v>
      </c>
      <c r="C397" t="s">
        <v>1573</v>
      </c>
      <c r="D397" t="s">
        <v>1573</v>
      </c>
      <c r="E397" t="s">
        <v>1573</v>
      </c>
      <c r="F397" t="s">
        <v>184</v>
      </c>
      <c r="H397" t="s">
        <v>1574</v>
      </c>
      <c r="K397" t="s">
        <v>1575</v>
      </c>
      <c r="L397" t="s">
        <v>332</v>
      </c>
      <c r="M397" s="10" t="s">
        <v>188</v>
      </c>
      <c r="N397" s="5">
        <v>94621</v>
      </c>
    </row>
    <row r="398" spans="1:14">
      <c r="A398" t="s">
        <v>1576</v>
      </c>
      <c r="B398" t="s">
        <v>1576</v>
      </c>
      <c r="C398" t="s">
        <v>1576</v>
      </c>
      <c r="D398" t="s">
        <v>1576</v>
      </c>
      <c r="E398" t="s">
        <v>1576</v>
      </c>
      <c r="F398" t="s">
        <v>184</v>
      </c>
      <c r="H398" t="s">
        <v>1577</v>
      </c>
      <c r="K398" t="s">
        <v>1578</v>
      </c>
      <c r="L398" t="s">
        <v>332</v>
      </c>
      <c r="M398" s="10" t="s">
        <v>188</v>
      </c>
      <c r="N398" s="5">
        <v>92240</v>
      </c>
    </row>
    <row r="399" spans="1:14">
      <c r="A399" t="s">
        <v>1579</v>
      </c>
      <c r="B399" t="s">
        <v>1579</v>
      </c>
      <c r="C399" t="s">
        <v>1579</v>
      </c>
      <c r="D399" t="s">
        <v>1579</v>
      </c>
      <c r="E399" t="s">
        <v>1579</v>
      </c>
      <c r="F399" t="s">
        <v>184</v>
      </c>
      <c r="H399" t="s">
        <v>1580</v>
      </c>
      <c r="K399" t="s">
        <v>1581</v>
      </c>
      <c r="L399" t="s">
        <v>555</v>
      </c>
      <c r="M399" s="10" t="s">
        <v>188</v>
      </c>
      <c r="N399" s="5">
        <v>75180</v>
      </c>
    </row>
    <row r="400" spans="1:14">
      <c r="M400" s="10"/>
    </row>
    <row r="401" spans="1:14">
      <c r="M401" s="10"/>
    </row>
    <row r="402" spans="1:14">
      <c r="M402" s="10"/>
    </row>
    <row r="403" spans="1:14">
      <c r="M403" s="10"/>
    </row>
    <row r="405" ht="27" customHeight="1" spans="1:14">
      <c r="A405" s="6" t="s">
        <v>1582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</row>
    <row r="406" spans="1:14">
      <c r="A406" t="s">
        <v>1583</v>
      </c>
      <c r="B406" t="s">
        <v>1583</v>
      </c>
      <c r="C406" t="s">
        <v>1583</v>
      </c>
      <c r="D406" t="s">
        <v>1583</v>
      </c>
      <c r="E406" t="s">
        <v>1584</v>
      </c>
      <c r="F406" t="s">
        <v>184</v>
      </c>
      <c r="H406" t="s">
        <v>1585</v>
      </c>
      <c r="K406" t="s">
        <v>1586</v>
      </c>
      <c r="L406" t="s">
        <v>1587</v>
      </c>
      <c r="M406" t="s">
        <v>1115</v>
      </c>
      <c r="N406" s="5" t="s">
        <v>1588</v>
      </c>
    </row>
    <row r="407" spans="1:14">
      <c r="A407" t="s">
        <v>1589</v>
      </c>
      <c r="B407" t="s">
        <v>1589</v>
      </c>
      <c r="C407" t="s">
        <v>1589</v>
      </c>
      <c r="D407" t="s">
        <v>1589</v>
      </c>
      <c r="E407" t="s">
        <v>1584</v>
      </c>
      <c r="F407" t="s">
        <v>184</v>
      </c>
      <c r="H407" t="s">
        <v>1590</v>
      </c>
      <c r="K407" t="s">
        <v>1591</v>
      </c>
      <c r="L407" t="s">
        <v>1592</v>
      </c>
      <c r="M407" t="s">
        <v>1115</v>
      </c>
      <c r="N407" s="5" t="s">
        <v>1593</v>
      </c>
    </row>
    <row r="408" spans="1:14">
      <c r="A408" t="s">
        <v>1594</v>
      </c>
      <c r="B408" t="s">
        <v>1594</v>
      </c>
      <c r="C408" t="s">
        <v>1594</v>
      </c>
      <c r="D408" t="s">
        <v>1594</v>
      </c>
      <c r="E408" t="s">
        <v>1584</v>
      </c>
      <c r="F408" t="s">
        <v>184</v>
      </c>
      <c r="H408" t="s">
        <v>1595</v>
      </c>
      <c r="K408" t="s">
        <v>1596</v>
      </c>
      <c r="L408" t="s">
        <v>1597</v>
      </c>
      <c r="M408" t="s">
        <v>1115</v>
      </c>
      <c r="N408" s="5" t="s">
        <v>1598</v>
      </c>
    </row>
    <row r="409" spans="1:14">
      <c r="A409" t="s">
        <v>1599</v>
      </c>
      <c r="B409" t="s">
        <v>1599</v>
      </c>
      <c r="C409" t="s">
        <v>1599</v>
      </c>
      <c r="D409" t="s">
        <v>1599</v>
      </c>
      <c r="E409" t="s">
        <v>1584</v>
      </c>
      <c r="F409" t="s">
        <v>184</v>
      </c>
      <c r="H409" t="s">
        <v>1600</v>
      </c>
      <c r="K409" t="s">
        <v>1596</v>
      </c>
      <c r="L409" t="s">
        <v>1597</v>
      </c>
      <c r="M409" t="s">
        <v>1115</v>
      </c>
      <c r="N409" s="5" t="s">
        <v>1598</v>
      </c>
    </row>
    <row r="410" spans="1:14">
      <c r="A410" t="s">
        <v>1601</v>
      </c>
      <c r="B410" t="s">
        <v>1601</v>
      </c>
      <c r="C410" t="s">
        <v>1601</v>
      </c>
      <c r="D410" t="s">
        <v>1601</v>
      </c>
      <c r="E410" t="s">
        <v>1584</v>
      </c>
      <c r="F410" t="s">
        <v>184</v>
      </c>
      <c r="H410" t="s">
        <v>1602</v>
      </c>
      <c r="K410" t="s">
        <v>1603</v>
      </c>
      <c r="L410" t="s">
        <v>1604</v>
      </c>
      <c r="M410" t="s">
        <v>1115</v>
      </c>
      <c r="N410" s="5" t="s">
        <v>1605</v>
      </c>
    </row>
    <row r="411" spans="1:14">
      <c r="A411" t="s">
        <v>1606</v>
      </c>
      <c r="B411" t="s">
        <v>1606</v>
      </c>
      <c r="C411" t="s">
        <v>1606</v>
      </c>
      <c r="D411" t="s">
        <v>1606</v>
      </c>
      <c r="E411" t="s">
        <v>1584</v>
      </c>
      <c r="F411" t="s">
        <v>184</v>
      </c>
      <c r="H411" t="s">
        <v>1607</v>
      </c>
      <c r="K411" t="s">
        <v>1608</v>
      </c>
      <c r="L411" t="s">
        <v>1609</v>
      </c>
      <c r="M411" t="s">
        <v>1115</v>
      </c>
      <c r="N411" s="5" t="s">
        <v>1610</v>
      </c>
    </row>
    <row r="412" spans="1:14">
      <c r="A412" t="s">
        <v>1611</v>
      </c>
      <c r="B412" t="s">
        <v>1611</v>
      </c>
      <c r="C412" t="s">
        <v>1611</v>
      </c>
      <c r="D412" t="s">
        <v>1611</v>
      </c>
      <c r="E412" t="s">
        <v>1584</v>
      </c>
      <c r="F412" t="s">
        <v>184</v>
      </c>
      <c r="H412" t="s">
        <v>1612</v>
      </c>
      <c r="K412" t="s">
        <v>1613</v>
      </c>
      <c r="L412" t="s">
        <v>1614</v>
      </c>
      <c r="M412" t="s">
        <v>1115</v>
      </c>
      <c r="N412" s="5" t="s">
        <v>1615</v>
      </c>
    </row>
    <row r="413" spans="1:14">
      <c r="A413" t="s">
        <v>1616</v>
      </c>
      <c r="B413" t="s">
        <v>1616</v>
      </c>
      <c r="C413" t="s">
        <v>1616</v>
      </c>
      <c r="D413" t="s">
        <v>1616</v>
      </c>
      <c r="E413" t="s">
        <v>1584</v>
      </c>
      <c r="F413" t="s">
        <v>184</v>
      </c>
      <c r="H413" t="s">
        <v>1617</v>
      </c>
      <c r="K413" t="s">
        <v>1618</v>
      </c>
      <c r="L413" t="s">
        <v>1619</v>
      </c>
      <c r="M413" t="s">
        <v>1115</v>
      </c>
      <c r="N413" s="5" t="s">
        <v>1620</v>
      </c>
    </row>
    <row r="414" spans="1:14">
      <c r="A414" t="s">
        <v>1621</v>
      </c>
      <c r="B414" t="s">
        <v>1621</v>
      </c>
      <c r="C414" t="s">
        <v>1621</v>
      </c>
      <c r="D414" t="s">
        <v>1621</v>
      </c>
      <c r="E414" t="s">
        <v>1584</v>
      </c>
      <c r="F414" t="s">
        <v>184</v>
      </c>
      <c r="H414" t="s">
        <v>1622</v>
      </c>
      <c r="K414" t="s">
        <v>1623</v>
      </c>
      <c r="L414" t="s">
        <v>1592</v>
      </c>
      <c r="M414" t="s">
        <v>1115</v>
      </c>
      <c r="N414" s="5" t="s">
        <v>1593</v>
      </c>
    </row>
    <row r="415" spans="1:14">
      <c r="A415" t="s">
        <v>1624</v>
      </c>
      <c r="B415" t="s">
        <v>1624</v>
      </c>
      <c r="C415" t="s">
        <v>1624</v>
      </c>
      <c r="D415" t="s">
        <v>1624</v>
      </c>
      <c r="E415" t="s">
        <v>1584</v>
      </c>
      <c r="F415" t="s">
        <v>184</v>
      </c>
      <c r="H415" t="s">
        <v>1625</v>
      </c>
      <c r="K415" t="s">
        <v>1626</v>
      </c>
      <c r="L415" t="s">
        <v>1627</v>
      </c>
      <c r="M415" t="s">
        <v>1115</v>
      </c>
      <c r="N415" s="5" t="s">
        <v>1628</v>
      </c>
    </row>
    <row r="416" spans="1:14">
      <c r="A416" t="s">
        <v>1629</v>
      </c>
      <c r="B416" t="s">
        <v>1629</v>
      </c>
      <c r="C416" t="s">
        <v>1629</v>
      </c>
      <c r="D416" t="s">
        <v>1629</v>
      </c>
      <c r="E416" t="s">
        <v>1584</v>
      </c>
      <c r="F416" t="s">
        <v>184</v>
      </c>
      <c r="H416" t="s">
        <v>1630</v>
      </c>
      <c r="K416" t="s">
        <v>1631</v>
      </c>
      <c r="L416" t="s">
        <v>1632</v>
      </c>
      <c r="M416" t="s">
        <v>1115</v>
      </c>
      <c r="N416" s="5" t="s">
        <v>1633</v>
      </c>
    </row>
    <row r="417" spans="1:14">
      <c r="A417" t="s">
        <v>1634</v>
      </c>
      <c r="B417" t="s">
        <v>1634</v>
      </c>
      <c r="C417" t="s">
        <v>1634</v>
      </c>
      <c r="D417" t="s">
        <v>1634</v>
      </c>
      <c r="E417" t="s">
        <v>1584</v>
      </c>
      <c r="F417" t="s">
        <v>184</v>
      </c>
      <c r="H417" t="s">
        <v>1635</v>
      </c>
      <c r="K417" t="s">
        <v>1636</v>
      </c>
      <c r="L417" t="s">
        <v>1637</v>
      </c>
      <c r="M417" t="s">
        <v>1115</v>
      </c>
      <c r="N417" s="5" t="s">
        <v>1638</v>
      </c>
    </row>
    <row r="418" spans="1:14">
      <c r="A418" t="s">
        <v>1639</v>
      </c>
      <c r="B418" t="s">
        <v>1639</v>
      </c>
      <c r="C418" t="s">
        <v>1639</v>
      </c>
      <c r="D418" t="s">
        <v>1639</v>
      </c>
      <c r="E418" t="s">
        <v>1584</v>
      </c>
      <c r="F418" t="s">
        <v>184</v>
      </c>
      <c r="H418" t="s">
        <v>1640</v>
      </c>
      <c r="K418" t="s">
        <v>1641</v>
      </c>
      <c r="L418" t="s">
        <v>1627</v>
      </c>
      <c r="M418" t="s">
        <v>1115</v>
      </c>
      <c r="N418" s="5" t="s">
        <v>1642</v>
      </c>
    </row>
    <row r="419" spans="1:14">
      <c r="A419" t="s">
        <v>1643</v>
      </c>
      <c r="B419" t="s">
        <v>1643</v>
      </c>
      <c r="C419" t="s">
        <v>1643</v>
      </c>
      <c r="D419" t="s">
        <v>1643</v>
      </c>
      <c r="E419" t="s">
        <v>1584</v>
      </c>
      <c r="F419" t="s">
        <v>184</v>
      </c>
      <c r="H419" t="s">
        <v>1644</v>
      </c>
      <c r="K419" t="s">
        <v>1645</v>
      </c>
      <c r="M419" t="s">
        <v>1115</v>
      </c>
      <c r="N419" s="55" t="s">
        <v>1646</v>
      </c>
    </row>
    <row r="420" spans="1:14">
      <c r="A420" t="s">
        <v>1647</v>
      </c>
      <c r="B420" t="s">
        <v>1647</v>
      </c>
      <c r="C420" t="s">
        <v>1647</v>
      </c>
      <c r="D420" t="s">
        <v>1647</v>
      </c>
      <c r="E420" t="s">
        <v>1584</v>
      </c>
      <c r="F420" t="s">
        <v>184</v>
      </c>
      <c r="H420" t="s">
        <v>1648</v>
      </c>
      <c r="K420" t="s">
        <v>1649</v>
      </c>
      <c r="L420" t="s">
        <v>1650</v>
      </c>
      <c r="M420" t="s">
        <v>1115</v>
      </c>
      <c r="N420" s="5" t="s">
        <v>1638</v>
      </c>
    </row>
    <row r="421" spans="1:14">
      <c r="A421" t="s">
        <v>1651</v>
      </c>
      <c r="B421" t="s">
        <v>1651</v>
      </c>
      <c r="C421" t="s">
        <v>1651</v>
      </c>
      <c r="D421" t="s">
        <v>1651</v>
      </c>
      <c r="E421" t="s">
        <v>1584</v>
      </c>
      <c r="F421" t="s">
        <v>184</v>
      </c>
      <c r="H421" t="s">
        <v>1648</v>
      </c>
      <c r="K421" t="s">
        <v>1649</v>
      </c>
      <c r="L421" t="s">
        <v>1650</v>
      </c>
      <c r="M421" t="s">
        <v>1115</v>
      </c>
      <c r="N421" s="5" t="s">
        <v>1638</v>
      </c>
    </row>
    <row r="422" spans="1:14">
      <c r="A422" t="s">
        <v>1652</v>
      </c>
      <c r="B422" t="s">
        <v>1652</v>
      </c>
      <c r="C422" t="s">
        <v>1652</v>
      </c>
      <c r="D422" t="s">
        <v>1652</v>
      </c>
      <c r="E422" t="s">
        <v>1584</v>
      </c>
      <c r="F422" t="s">
        <v>184</v>
      </c>
      <c r="H422" t="s">
        <v>1653</v>
      </c>
      <c r="K422" t="s">
        <v>1654</v>
      </c>
      <c r="L422" t="s">
        <v>1655</v>
      </c>
      <c r="M422" t="s">
        <v>1115</v>
      </c>
      <c r="N422" s="5" t="s">
        <v>1656</v>
      </c>
    </row>
    <row r="423" spans="1:14">
      <c r="A423" t="s">
        <v>1657</v>
      </c>
      <c r="B423" t="s">
        <v>1657</v>
      </c>
      <c r="C423" t="s">
        <v>1657</v>
      </c>
      <c r="D423" t="s">
        <v>1657</v>
      </c>
      <c r="E423" t="s">
        <v>1584</v>
      </c>
      <c r="F423" t="s">
        <v>184</v>
      </c>
      <c r="H423" t="s">
        <v>1658</v>
      </c>
      <c r="K423" t="s">
        <v>1659</v>
      </c>
      <c r="L423" t="s">
        <v>1660</v>
      </c>
      <c r="M423" t="s">
        <v>1115</v>
      </c>
      <c r="N423" s="5" t="s">
        <v>1661</v>
      </c>
    </row>
    <row r="424" spans="1:14">
      <c r="A424" t="s">
        <v>1662</v>
      </c>
      <c r="B424" t="s">
        <v>1662</v>
      </c>
      <c r="C424" t="s">
        <v>1662</v>
      </c>
      <c r="D424" t="s">
        <v>1662</v>
      </c>
      <c r="E424" t="s">
        <v>1584</v>
      </c>
      <c r="F424" t="s">
        <v>184</v>
      </c>
      <c r="H424" t="s">
        <v>1663</v>
      </c>
      <c r="K424" t="s">
        <v>1603</v>
      </c>
      <c r="L424" t="s">
        <v>1597</v>
      </c>
      <c r="M424" t="s">
        <v>1115</v>
      </c>
      <c r="N424" s="5" t="s">
        <v>1605</v>
      </c>
    </row>
    <row r="425" spans="1:14">
      <c r="A425" t="s">
        <v>1664</v>
      </c>
      <c r="B425" t="s">
        <v>1664</v>
      </c>
      <c r="C425" t="s">
        <v>1664</v>
      </c>
      <c r="D425" t="s">
        <v>1664</v>
      </c>
      <c r="E425" t="s">
        <v>1584</v>
      </c>
      <c r="F425" t="s">
        <v>184</v>
      </c>
      <c r="H425" t="s">
        <v>1665</v>
      </c>
      <c r="K425" t="s">
        <v>1596</v>
      </c>
      <c r="L425" t="s">
        <v>1596</v>
      </c>
      <c r="M425" t="s">
        <v>1115</v>
      </c>
      <c r="N425" s="5" t="s">
        <v>1598</v>
      </c>
    </row>
    <row r="426" spans="1:14">
      <c r="A426" t="s">
        <v>1666</v>
      </c>
      <c r="B426" t="s">
        <v>1666</v>
      </c>
      <c r="C426" t="s">
        <v>1666</v>
      </c>
      <c r="D426" t="s">
        <v>1666</v>
      </c>
      <c r="E426" t="s">
        <v>1584</v>
      </c>
      <c r="F426" t="s">
        <v>184</v>
      </c>
      <c r="H426" t="s">
        <v>1667</v>
      </c>
      <c r="K426" t="s">
        <v>1668</v>
      </c>
      <c r="L426" t="s">
        <v>1668</v>
      </c>
      <c r="M426" t="s">
        <v>1115</v>
      </c>
      <c r="N426" s="5" t="s">
        <v>1669</v>
      </c>
    </row>
    <row r="427" spans="1:14">
      <c r="A427" t="s">
        <v>1670</v>
      </c>
      <c r="B427" t="s">
        <v>1670</v>
      </c>
      <c r="C427" t="s">
        <v>1670</v>
      </c>
      <c r="D427" t="s">
        <v>1670</v>
      </c>
      <c r="E427" t="s">
        <v>1584</v>
      </c>
      <c r="F427" t="s">
        <v>184</v>
      </c>
      <c r="H427" t="s">
        <v>1671</v>
      </c>
      <c r="K427" t="s">
        <v>1649</v>
      </c>
      <c r="L427" t="s">
        <v>1650</v>
      </c>
      <c r="M427" t="s">
        <v>1115</v>
      </c>
      <c r="N427" s="5" t="s">
        <v>1638</v>
      </c>
    </row>
    <row r="428" spans="1:14">
      <c r="A428" t="s">
        <v>1672</v>
      </c>
      <c r="B428" t="s">
        <v>1672</v>
      </c>
      <c r="C428" t="s">
        <v>1672</v>
      </c>
      <c r="D428" t="s">
        <v>1672</v>
      </c>
      <c r="E428" t="s">
        <v>1673</v>
      </c>
      <c r="F428" t="s">
        <v>184</v>
      </c>
      <c r="H428" t="s">
        <v>1671</v>
      </c>
      <c r="I428" t="s">
        <v>1674</v>
      </c>
      <c r="K428" t="s">
        <v>1649</v>
      </c>
      <c r="L428" t="s">
        <v>1650</v>
      </c>
      <c r="M428" t="s">
        <v>1115</v>
      </c>
      <c r="N428" s="5" t="s">
        <v>1638</v>
      </c>
    </row>
    <row r="429" spans="1:14">
      <c r="A429" t="s">
        <v>1675</v>
      </c>
      <c r="B429" t="s">
        <v>1675</v>
      </c>
      <c r="C429" t="s">
        <v>1675</v>
      </c>
      <c r="D429" t="s">
        <v>1675</v>
      </c>
      <c r="E429" t="s">
        <v>1584</v>
      </c>
      <c r="F429" t="s">
        <v>184</v>
      </c>
      <c r="H429" t="s">
        <v>1676</v>
      </c>
      <c r="K429" t="s">
        <v>1677</v>
      </c>
      <c r="L429" t="s">
        <v>1678</v>
      </c>
      <c r="M429" t="s">
        <v>1115</v>
      </c>
      <c r="N429" s="5" t="s">
        <v>1679</v>
      </c>
    </row>
    <row r="430" spans="1:14">
      <c r="A430" t="s">
        <v>1680</v>
      </c>
      <c r="B430" t="s">
        <v>1680</v>
      </c>
      <c r="C430" t="s">
        <v>1680</v>
      </c>
      <c r="D430" t="s">
        <v>1680</v>
      </c>
      <c r="E430" t="s">
        <v>1584</v>
      </c>
      <c r="F430" t="s">
        <v>184</v>
      </c>
      <c r="H430" t="s">
        <v>1681</v>
      </c>
      <c r="K430" t="s">
        <v>1682</v>
      </c>
      <c r="L430" t="s">
        <v>1587</v>
      </c>
      <c r="M430" t="s">
        <v>1115</v>
      </c>
      <c r="N430" s="5" t="s">
        <v>1683</v>
      </c>
    </row>
    <row r="431" spans="1:14">
      <c r="A431" t="s">
        <v>1684</v>
      </c>
      <c r="B431" t="s">
        <v>1684</v>
      </c>
      <c r="C431" t="s">
        <v>1684</v>
      </c>
      <c r="D431" t="s">
        <v>1684</v>
      </c>
      <c r="E431" t="s">
        <v>1584</v>
      </c>
      <c r="F431" t="s">
        <v>184</v>
      </c>
      <c r="H431" t="s">
        <v>1685</v>
      </c>
      <c r="K431" t="s">
        <v>1686</v>
      </c>
      <c r="L431" t="s">
        <v>1632</v>
      </c>
      <c r="M431" t="s">
        <v>1115</v>
      </c>
      <c r="N431" s="5" t="s">
        <v>1687</v>
      </c>
    </row>
    <row r="432" spans="1:14">
      <c r="A432" t="s">
        <v>1688</v>
      </c>
      <c r="B432" t="s">
        <v>1688</v>
      </c>
      <c r="C432" t="s">
        <v>1688</v>
      </c>
      <c r="D432" t="s">
        <v>1688</v>
      </c>
      <c r="E432" t="s">
        <v>1584</v>
      </c>
      <c r="F432" t="s">
        <v>184</v>
      </c>
      <c r="H432" t="s">
        <v>1689</v>
      </c>
      <c r="K432" t="s">
        <v>1690</v>
      </c>
      <c r="L432" t="s">
        <v>1691</v>
      </c>
      <c r="M432" t="s">
        <v>1115</v>
      </c>
      <c r="N432" s="5" t="s">
        <v>1692</v>
      </c>
    </row>
    <row r="433" spans="1:14">
      <c r="A433" t="s">
        <v>1693</v>
      </c>
      <c r="B433" t="s">
        <v>1693</v>
      </c>
      <c r="C433" t="s">
        <v>1693</v>
      </c>
      <c r="D433" t="s">
        <v>1693</v>
      </c>
      <c r="E433" t="s">
        <v>1673</v>
      </c>
      <c r="F433" t="s">
        <v>184</v>
      </c>
      <c r="H433" t="s">
        <v>1694</v>
      </c>
      <c r="K433" t="s">
        <v>1695</v>
      </c>
      <c r="M433" t="s">
        <v>1115</v>
      </c>
      <c r="N433" s="5" t="s">
        <v>1696</v>
      </c>
    </row>
    <row r="434" spans="1:14">
      <c r="A434" t="s">
        <v>1697</v>
      </c>
      <c r="B434" t="s">
        <v>1697</v>
      </c>
      <c r="C434" t="s">
        <v>1697</v>
      </c>
      <c r="D434" t="s">
        <v>1697</v>
      </c>
      <c r="E434" t="s">
        <v>1673</v>
      </c>
      <c r="F434" t="s">
        <v>184</v>
      </c>
      <c r="H434" t="s">
        <v>1644</v>
      </c>
      <c r="K434" t="s">
        <v>1645</v>
      </c>
      <c r="L434" t="s">
        <v>1587</v>
      </c>
      <c r="M434" t="s">
        <v>1115</v>
      </c>
      <c r="N434" s="55" t="s">
        <v>1646</v>
      </c>
    </row>
    <row r="435" spans="1:14">
      <c r="A435" t="s">
        <v>1698</v>
      </c>
      <c r="B435" t="s">
        <v>1698</v>
      </c>
      <c r="C435" t="s">
        <v>1698</v>
      </c>
      <c r="D435" t="s">
        <v>1698</v>
      </c>
      <c r="E435" t="s">
        <v>1673</v>
      </c>
      <c r="F435" t="s">
        <v>184</v>
      </c>
      <c r="H435" t="s">
        <v>1671</v>
      </c>
      <c r="K435" t="s">
        <v>1649</v>
      </c>
      <c r="L435" t="s">
        <v>1650</v>
      </c>
      <c r="M435" t="s">
        <v>1115</v>
      </c>
      <c r="N435" s="5" t="s">
        <v>1638</v>
      </c>
    </row>
    <row r="436" spans="1:14">
      <c r="A436" t="s">
        <v>1699</v>
      </c>
      <c r="B436" t="s">
        <v>1699</v>
      </c>
      <c r="C436" t="s">
        <v>1699</v>
      </c>
      <c r="D436" t="s">
        <v>1699</v>
      </c>
      <c r="E436" t="s">
        <v>1673</v>
      </c>
      <c r="F436" t="s">
        <v>184</v>
      </c>
      <c r="H436" t="s">
        <v>1700</v>
      </c>
      <c r="K436" t="s">
        <v>1701</v>
      </c>
      <c r="M436" t="s">
        <v>1115</v>
      </c>
      <c r="N436" s="5">
        <v>63801</v>
      </c>
    </row>
    <row r="437" spans="1:14">
      <c r="A437" t="s">
        <v>1702</v>
      </c>
      <c r="B437" t="s">
        <v>1702</v>
      </c>
      <c r="C437" t="s">
        <v>1702</v>
      </c>
      <c r="D437" t="s">
        <v>1702</v>
      </c>
      <c r="E437" t="s">
        <v>1673</v>
      </c>
      <c r="F437" t="s">
        <v>184</v>
      </c>
      <c r="H437" t="s">
        <v>1703</v>
      </c>
      <c r="K437" t="s">
        <v>1704</v>
      </c>
      <c r="L437" t="s">
        <v>1592</v>
      </c>
      <c r="M437" t="s">
        <v>1115</v>
      </c>
      <c r="N437" s="5">
        <v>34466</v>
      </c>
    </row>
    <row r="438" spans="1:14">
      <c r="A438" t="s">
        <v>1705</v>
      </c>
      <c r="B438" t="s">
        <v>1705</v>
      </c>
      <c r="C438" t="s">
        <v>1705</v>
      </c>
      <c r="D438" t="s">
        <v>1705</v>
      </c>
      <c r="E438" t="s">
        <v>1673</v>
      </c>
      <c r="F438" t="s">
        <v>1706</v>
      </c>
      <c r="H438" t="s">
        <v>1707</v>
      </c>
      <c r="K438" t="s">
        <v>1614</v>
      </c>
      <c r="L438" t="s">
        <v>1708</v>
      </c>
      <c r="M438" t="s">
        <v>1115</v>
      </c>
      <c r="N438" s="5">
        <v>58454</v>
      </c>
    </row>
    <row r="439" spans="1:14">
      <c r="A439" t="s">
        <v>1709</v>
      </c>
      <c r="B439" t="s">
        <v>1709</v>
      </c>
      <c r="C439" t="s">
        <v>1709</v>
      </c>
      <c r="D439" t="s">
        <v>1709</v>
      </c>
      <c r="E439" t="s">
        <v>1673</v>
      </c>
      <c r="F439" t="s">
        <v>1706</v>
      </c>
      <c r="H439" t="s">
        <v>1700</v>
      </c>
      <c r="K439" t="s">
        <v>1701</v>
      </c>
      <c r="L439" t="s">
        <v>1650</v>
      </c>
      <c r="M439" t="s">
        <v>1115</v>
      </c>
      <c r="N439" s="5">
        <v>63801</v>
      </c>
    </row>
    <row r="440" spans="1:14">
      <c r="A440" t="s">
        <v>1710</v>
      </c>
      <c r="B440" t="s">
        <v>1710</v>
      </c>
      <c r="C440" t="s">
        <v>1710</v>
      </c>
      <c r="D440" t="s">
        <v>1710</v>
      </c>
      <c r="E440" t="s">
        <v>1673</v>
      </c>
      <c r="F440" t="s">
        <v>1706</v>
      </c>
      <c r="H440" t="s">
        <v>1644</v>
      </c>
      <c r="K440" t="s">
        <v>1711</v>
      </c>
      <c r="L440" t="s">
        <v>1587</v>
      </c>
      <c r="M440" t="s">
        <v>1115</v>
      </c>
      <c r="N440" s="55" t="s">
        <v>1646</v>
      </c>
    </row>
    <row r="441" spans="1:14">
      <c r="A441" t="s">
        <v>1712</v>
      </c>
      <c r="B441" t="s">
        <v>1712</v>
      </c>
      <c r="C441" t="s">
        <v>1712</v>
      </c>
      <c r="D441" t="s">
        <v>1712</v>
      </c>
      <c r="E441" t="s">
        <v>1673</v>
      </c>
      <c r="F441" t="s">
        <v>1706</v>
      </c>
      <c r="H441" t="s">
        <v>1713</v>
      </c>
      <c r="K441" t="s">
        <v>1714</v>
      </c>
      <c r="L441" t="s">
        <v>1587</v>
      </c>
      <c r="M441" t="s">
        <v>1115</v>
      </c>
      <c r="N441" s="55" t="s">
        <v>1715</v>
      </c>
    </row>
    <row r="442" spans="1:14">
      <c r="A442" t="s">
        <v>1716</v>
      </c>
      <c r="B442" t="s">
        <v>1716</v>
      </c>
      <c r="C442" t="s">
        <v>1716</v>
      </c>
      <c r="D442" t="s">
        <v>1716</v>
      </c>
      <c r="E442" t="s">
        <v>1673</v>
      </c>
      <c r="F442" t="s">
        <v>1706</v>
      </c>
      <c r="H442" t="s">
        <v>1717</v>
      </c>
      <c r="I442" t="s">
        <v>1718</v>
      </c>
      <c r="K442" t="s">
        <v>1719</v>
      </c>
      <c r="M442" t="s">
        <v>1115</v>
      </c>
      <c r="N442" s="5">
        <v>34474</v>
      </c>
    </row>
    <row r="443" spans="1:14">
      <c r="A443" t="s">
        <v>1720</v>
      </c>
      <c r="B443" t="s">
        <v>1720</v>
      </c>
      <c r="C443" t="s">
        <v>1720</v>
      </c>
      <c r="D443" t="s">
        <v>1720</v>
      </c>
      <c r="E443" t="s">
        <v>1673</v>
      </c>
      <c r="F443" t="s">
        <v>1706</v>
      </c>
      <c r="H443" t="s">
        <v>1721</v>
      </c>
      <c r="I443" t="s">
        <v>1722</v>
      </c>
      <c r="K443" t="s">
        <v>1723</v>
      </c>
      <c r="M443" t="s">
        <v>1115</v>
      </c>
      <c r="N443" s="5">
        <v>18196</v>
      </c>
    </row>
    <row r="448" ht="27" customHeight="1" spans="1:14">
      <c r="A448" s="6" t="s">
        <v>1724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8"/>
    </row>
    <row r="449" spans="1:14">
      <c r="A449" t="s">
        <v>1725</v>
      </c>
      <c r="B449" t="s">
        <v>1725</v>
      </c>
      <c r="C449" t="s">
        <v>1725</v>
      </c>
      <c r="D449" t="s">
        <v>1725</v>
      </c>
      <c r="E449" t="s">
        <v>1725</v>
      </c>
      <c r="F449" t="s">
        <v>184</v>
      </c>
      <c r="H449" t="s">
        <v>1726</v>
      </c>
      <c r="K449" t="s">
        <v>1727</v>
      </c>
      <c r="M449" t="s">
        <v>1728</v>
      </c>
      <c r="N449" s="5" t="s">
        <v>1729</v>
      </c>
    </row>
    <row r="450" spans="1:14">
      <c r="A450" t="s">
        <v>1730</v>
      </c>
      <c r="B450" t="s">
        <v>1730</v>
      </c>
      <c r="C450" t="s">
        <v>1730</v>
      </c>
      <c r="D450" t="s">
        <v>1730</v>
      </c>
      <c r="E450" t="s">
        <v>1730</v>
      </c>
      <c r="F450" t="s">
        <v>184</v>
      </c>
      <c r="H450" t="s">
        <v>1731</v>
      </c>
      <c r="K450" t="s">
        <v>1732</v>
      </c>
      <c r="M450" t="s">
        <v>1728</v>
      </c>
      <c r="N450" s="5" t="s">
        <v>1733</v>
      </c>
    </row>
    <row r="451" spans="1:14">
      <c r="A451" t="s">
        <v>1734</v>
      </c>
      <c r="B451" t="s">
        <v>1734</v>
      </c>
      <c r="C451" t="s">
        <v>1734</v>
      </c>
      <c r="D451" t="s">
        <v>1734</v>
      </c>
      <c r="E451" t="s">
        <v>1734</v>
      </c>
      <c r="F451" t="s">
        <v>184</v>
      </c>
      <c r="H451" t="s">
        <v>1735</v>
      </c>
      <c r="K451" t="s">
        <v>1736</v>
      </c>
      <c r="M451" t="s">
        <v>1728</v>
      </c>
      <c r="N451" s="5" t="s">
        <v>1737</v>
      </c>
    </row>
    <row r="452" spans="1:14">
      <c r="A452" t="s">
        <v>1738</v>
      </c>
      <c r="B452" t="s">
        <v>1738</v>
      </c>
      <c r="C452" t="s">
        <v>1738</v>
      </c>
      <c r="D452" t="s">
        <v>1738</v>
      </c>
      <c r="E452" t="s">
        <v>1738</v>
      </c>
      <c r="F452" t="s">
        <v>184</v>
      </c>
      <c r="H452" t="s">
        <v>1739</v>
      </c>
      <c r="K452" t="s">
        <v>1740</v>
      </c>
      <c r="M452" t="s">
        <v>1728</v>
      </c>
      <c r="N452" s="5" t="s">
        <v>1741</v>
      </c>
    </row>
    <row r="453" spans="1:14">
      <c r="A453" t="s">
        <v>1742</v>
      </c>
      <c r="B453" t="s">
        <v>1742</v>
      </c>
      <c r="C453" t="s">
        <v>1742</v>
      </c>
      <c r="D453" t="s">
        <v>1742</v>
      </c>
      <c r="E453" t="s">
        <v>1742</v>
      </c>
      <c r="F453" t="s">
        <v>184</v>
      </c>
      <c r="H453" t="s">
        <v>1743</v>
      </c>
      <c r="K453" t="s">
        <v>1744</v>
      </c>
      <c r="M453" t="s">
        <v>1728</v>
      </c>
      <c r="N453" s="5" t="s">
        <v>1745</v>
      </c>
    </row>
    <row r="454" spans="1:14">
      <c r="A454" t="s">
        <v>1746</v>
      </c>
      <c r="B454" t="s">
        <v>1746</v>
      </c>
      <c r="C454" t="s">
        <v>1746</v>
      </c>
      <c r="D454" t="s">
        <v>1746</v>
      </c>
      <c r="E454" t="s">
        <v>1746</v>
      </c>
      <c r="F454" t="s">
        <v>184</v>
      </c>
      <c r="H454" t="s">
        <v>1739</v>
      </c>
      <c r="K454" t="s">
        <v>1747</v>
      </c>
      <c r="M454" t="s">
        <v>1728</v>
      </c>
      <c r="N454" s="5" t="s">
        <v>1741</v>
      </c>
    </row>
    <row r="455" spans="1:14">
      <c r="A455" t="s">
        <v>1748</v>
      </c>
      <c r="B455" t="s">
        <v>1748</v>
      </c>
      <c r="C455" t="s">
        <v>1748</v>
      </c>
      <c r="D455" t="s">
        <v>1748</v>
      </c>
      <c r="E455" t="s">
        <v>1748</v>
      </c>
      <c r="F455" t="s">
        <v>184</v>
      </c>
      <c r="H455" t="s">
        <v>1749</v>
      </c>
      <c r="K455" t="s">
        <v>1750</v>
      </c>
      <c r="M455" t="s">
        <v>1728</v>
      </c>
      <c r="N455" s="5" t="s">
        <v>1751</v>
      </c>
    </row>
    <row r="456" spans="1:14">
      <c r="A456" t="s">
        <v>1752</v>
      </c>
      <c r="B456" t="s">
        <v>1752</v>
      </c>
      <c r="C456" t="s">
        <v>1752</v>
      </c>
      <c r="D456" t="s">
        <v>1752</v>
      </c>
      <c r="H456" t="s">
        <v>1753</v>
      </c>
      <c r="K456" t="s">
        <v>1754</v>
      </c>
      <c r="L456" t="s">
        <v>1755</v>
      </c>
      <c r="M456" t="s">
        <v>1728</v>
      </c>
      <c r="N456" s="5" t="s">
        <v>1756</v>
      </c>
    </row>
    <row r="457" spans="1:14">
      <c r="A457" t="s">
        <v>1757</v>
      </c>
      <c r="B457" t="s">
        <v>1757</v>
      </c>
      <c r="C457" t="s">
        <v>1757</v>
      </c>
      <c r="D457" t="s">
        <v>1757</v>
      </c>
      <c r="F457" t="s">
        <v>184</v>
      </c>
      <c r="H457" t="s">
        <v>1758</v>
      </c>
      <c r="K457" t="s">
        <v>1759</v>
      </c>
      <c r="L457" t="s">
        <v>1760</v>
      </c>
      <c r="M457" t="s">
        <v>1115</v>
      </c>
      <c r="N457" s="5" t="s">
        <v>1761</v>
      </c>
    </row>
    <row r="458" spans="1:14">
      <c r="A458" t="s">
        <v>1762</v>
      </c>
      <c r="B458" t="s">
        <v>1762</v>
      </c>
      <c r="C458" t="s">
        <v>1762</v>
      </c>
      <c r="D458" t="s">
        <v>1762</v>
      </c>
      <c r="F458" t="s">
        <v>184</v>
      </c>
      <c r="H458" t="s">
        <v>1763</v>
      </c>
      <c r="K458" t="s">
        <v>1764</v>
      </c>
      <c r="M458" t="s">
        <v>1728</v>
      </c>
      <c r="N458" s="5" t="s">
        <v>1765</v>
      </c>
    </row>
    <row r="459" spans="1:14">
      <c r="A459" t="s">
        <v>1766</v>
      </c>
      <c r="B459" t="s">
        <v>1766</v>
      </c>
      <c r="C459" t="s">
        <v>1766</v>
      </c>
      <c r="D459" t="s">
        <v>1766</v>
      </c>
      <c r="F459" t="s">
        <v>184</v>
      </c>
      <c r="H459" t="s">
        <v>1767</v>
      </c>
      <c r="K459" t="s">
        <v>1768</v>
      </c>
      <c r="L459" t="s">
        <v>1769</v>
      </c>
      <c r="M459" t="s">
        <v>1728</v>
      </c>
      <c r="N459" s="5" t="s">
        <v>1770</v>
      </c>
    </row>
    <row r="460" spans="1:14">
      <c r="A460" t="s">
        <v>1771</v>
      </c>
      <c r="B460" t="s">
        <v>1771</v>
      </c>
      <c r="C460" t="s">
        <v>1771</v>
      </c>
      <c r="D460" t="s">
        <v>1771</v>
      </c>
      <c r="F460" t="s">
        <v>184</v>
      </c>
      <c r="H460" t="s">
        <v>1772</v>
      </c>
      <c r="K460" t="s">
        <v>1773</v>
      </c>
      <c r="L460" t="s">
        <v>1774</v>
      </c>
      <c r="M460" t="s">
        <v>1728</v>
      </c>
      <c r="N460" s="5" t="s">
        <v>1775</v>
      </c>
    </row>
    <row r="461" spans="1:14">
      <c r="A461" t="s">
        <v>1776</v>
      </c>
      <c r="B461" t="s">
        <v>1776</v>
      </c>
      <c r="C461" t="s">
        <v>1776</v>
      </c>
      <c r="D461" t="s">
        <v>1776</v>
      </c>
      <c r="F461" t="s">
        <v>184</v>
      </c>
      <c r="H461" t="s">
        <v>1777</v>
      </c>
      <c r="K461" t="s">
        <v>1778</v>
      </c>
      <c r="L461" t="s">
        <v>1778</v>
      </c>
      <c r="M461" t="s">
        <v>1728</v>
      </c>
      <c r="N461" s="5" t="s">
        <v>1779</v>
      </c>
    </row>
    <row r="462" spans="1:14">
      <c r="A462" t="s">
        <v>1780</v>
      </c>
      <c r="B462" t="s">
        <v>1780</v>
      </c>
      <c r="C462" t="s">
        <v>1780</v>
      </c>
      <c r="D462" t="s">
        <v>1780</v>
      </c>
      <c r="F462" t="s">
        <v>184</v>
      </c>
      <c r="H462" t="s">
        <v>1781</v>
      </c>
      <c r="K462" t="s">
        <v>1782</v>
      </c>
      <c r="M462" t="s">
        <v>1728</v>
      </c>
      <c r="N462" s="5">
        <v>15122</v>
      </c>
    </row>
    <row r="467" ht="27" customHeight="1" spans="1:14">
      <c r="A467" s="6" t="s">
        <v>1783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8"/>
    </row>
    <row r="468" spans="1:14">
      <c r="A468" t="s">
        <v>1784</v>
      </c>
      <c r="B468" t="s">
        <v>1784</v>
      </c>
      <c r="C468" t="s">
        <v>1784</v>
      </c>
      <c r="D468" t="s">
        <v>1784</v>
      </c>
      <c r="E468" t="s">
        <v>1784</v>
      </c>
      <c r="F468" t="s">
        <v>184</v>
      </c>
      <c r="H468" t="s">
        <v>1785</v>
      </c>
      <c r="K468" t="s">
        <v>1786</v>
      </c>
      <c r="M468" t="s">
        <v>1787</v>
      </c>
      <c r="N468" s="5" t="s">
        <v>1788</v>
      </c>
    </row>
    <row r="469" spans="1:14">
      <c r="A469" t="s">
        <v>1789</v>
      </c>
      <c r="B469" t="s">
        <v>1789</v>
      </c>
      <c r="C469" t="s">
        <v>1789</v>
      </c>
      <c r="D469" t="s">
        <v>1789</v>
      </c>
      <c r="E469" t="s">
        <v>1789</v>
      </c>
      <c r="F469" t="s">
        <v>184</v>
      </c>
      <c r="H469" t="s">
        <v>1790</v>
      </c>
      <c r="K469" t="s">
        <v>1791</v>
      </c>
      <c r="M469" t="s">
        <v>1787</v>
      </c>
      <c r="N469" s="5" t="s">
        <v>1792</v>
      </c>
    </row>
    <row r="470" spans="1:14">
      <c r="A470" t="s">
        <v>1793</v>
      </c>
      <c r="B470" t="s">
        <v>1793</v>
      </c>
      <c r="C470" t="s">
        <v>1793</v>
      </c>
      <c r="D470" t="s">
        <v>1793</v>
      </c>
      <c r="E470" t="s">
        <v>1793</v>
      </c>
      <c r="F470" t="s">
        <v>184</v>
      </c>
      <c r="H470" t="s">
        <v>1794</v>
      </c>
      <c r="K470" t="s">
        <v>1795</v>
      </c>
      <c r="M470" t="s">
        <v>1787</v>
      </c>
      <c r="N470" s="5" t="s">
        <v>1796</v>
      </c>
    </row>
    <row r="471" spans="1:14">
      <c r="A471" t="s">
        <v>1797</v>
      </c>
      <c r="B471" t="s">
        <v>1797</v>
      </c>
      <c r="C471" t="s">
        <v>1798</v>
      </c>
      <c r="D471" t="s">
        <v>1798</v>
      </c>
      <c r="E471" t="s">
        <v>1798</v>
      </c>
      <c r="F471" t="s">
        <v>184</v>
      </c>
      <c r="H471" t="s">
        <v>1799</v>
      </c>
      <c r="K471" t="s">
        <v>1800</v>
      </c>
      <c r="M471" t="s">
        <v>1787</v>
      </c>
      <c r="N471" s="5" t="s">
        <v>1801</v>
      </c>
    </row>
    <row r="472" spans="1:14">
      <c r="A472" t="s">
        <v>1802</v>
      </c>
      <c r="B472" t="s">
        <v>1802</v>
      </c>
      <c r="C472" t="s">
        <v>1802</v>
      </c>
      <c r="D472" t="s">
        <v>1802</v>
      </c>
      <c r="E472" t="s">
        <v>1802</v>
      </c>
      <c r="F472" t="s">
        <v>184</v>
      </c>
      <c r="H472" t="s">
        <v>1803</v>
      </c>
      <c r="K472" t="s">
        <v>1804</v>
      </c>
      <c r="M472" t="s">
        <v>1787</v>
      </c>
      <c r="N472" s="5" t="s">
        <v>1805</v>
      </c>
    </row>
    <row r="473" spans="1:14">
      <c r="A473" t="s">
        <v>1806</v>
      </c>
      <c r="B473" t="s">
        <v>1806</v>
      </c>
      <c r="C473" t="s">
        <v>1806</v>
      </c>
      <c r="D473" t="s">
        <v>1806</v>
      </c>
      <c r="E473" t="s">
        <v>1806</v>
      </c>
      <c r="F473" t="s">
        <v>184</v>
      </c>
      <c r="H473" t="s">
        <v>1807</v>
      </c>
      <c r="K473" t="s">
        <v>1808</v>
      </c>
      <c r="M473" t="s">
        <v>1787</v>
      </c>
      <c r="N473" s="5" t="s">
        <v>1809</v>
      </c>
    </row>
    <row r="474" spans="1:14">
      <c r="A474" t="s">
        <v>1810</v>
      </c>
      <c r="B474" t="s">
        <v>1810</v>
      </c>
      <c r="C474" t="s">
        <v>1810</v>
      </c>
      <c r="D474" t="s">
        <v>1810</v>
      </c>
      <c r="E474" t="s">
        <v>1810</v>
      </c>
      <c r="F474" t="s">
        <v>184</v>
      </c>
      <c r="H474" t="s">
        <v>1811</v>
      </c>
      <c r="K474" t="s">
        <v>1812</v>
      </c>
      <c r="M474" t="s">
        <v>1787</v>
      </c>
      <c r="N474" s="5" t="s">
        <v>1813</v>
      </c>
    </row>
    <row r="475" spans="1:14">
      <c r="A475" t="s">
        <v>1814</v>
      </c>
      <c r="B475" t="s">
        <v>1814</v>
      </c>
      <c r="C475" t="s">
        <v>1814</v>
      </c>
      <c r="D475" t="s">
        <v>1814</v>
      </c>
      <c r="E475" t="s">
        <v>1814</v>
      </c>
      <c r="F475" t="s">
        <v>184</v>
      </c>
      <c r="H475" t="s">
        <v>1815</v>
      </c>
      <c r="K475" t="s">
        <v>1816</v>
      </c>
      <c r="M475" t="s">
        <v>1787</v>
      </c>
      <c r="N475" s="5" t="s">
        <v>1817</v>
      </c>
    </row>
    <row r="476" spans="1:14">
      <c r="A476" t="s">
        <v>1818</v>
      </c>
      <c r="B476" t="s">
        <v>1818</v>
      </c>
      <c r="C476" t="s">
        <v>1818</v>
      </c>
      <c r="D476" t="s">
        <v>1818</v>
      </c>
      <c r="E476" t="s">
        <v>1818</v>
      </c>
      <c r="F476" t="s">
        <v>184</v>
      </c>
      <c r="H476" t="s">
        <v>1819</v>
      </c>
      <c r="K476" t="s">
        <v>1820</v>
      </c>
      <c r="M476" t="s">
        <v>1787</v>
      </c>
      <c r="N476" s="5" t="s">
        <v>1821</v>
      </c>
    </row>
    <row r="477" spans="1:14">
      <c r="A477" t="s">
        <v>1822</v>
      </c>
      <c r="B477" t="s">
        <v>1822</v>
      </c>
      <c r="C477" t="s">
        <v>1822</v>
      </c>
      <c r="D477" t="s">
        <v>1822</v>
      </c>
      <c r="E477" t="s">
        <v>1822</v>
      </c>
      <c r="F477" t="s">
        <v>184</v>
      </c>
      <c r="H477" t="s">
        <v>1823</v>
      </c>
      <c r="K477" t="s">
        <v>1824</v>
      </c>
      <c r="M477" t="s">
        <v>1787</v>
      </c>
      <c r="N477" s="5" t="s">
        <v>1825</v>
      </c>
    </row>
    <row r="478" spans="1:14">
      <c r="A478" t="s">
        <v>1826</v>
      </c>
      <c r="B478" t="s">
        <v>1826</v>
      </c>
      <c r="C478" t="s">
        <v>1826</v>
      </c>
      <c r="D478" t="s">
        <v>1826</v>
      </c>
      <c r="E478" t="s">
        <v>1826</v>
      </c>
      <c r="F478" t="s">
        <v>184</v>
      </c>
      <c r="H478" t="s">
        <v>1827</v>
      </c>
      <c r="K478" t="s">
        <v>1828</v>
      </c>
      <c r="M478" t="s">
        <v>1787</v>
      </c>
      <c r="N478" s="5" t="s">
        <v>1829</v>
      </c>
    </row>
    <row r="479" spans="1:14">
      <c r="A479" t="s">
        <v>1798</v>
      </c>
      <c r="B479" t="s">
        <v>1798</v>
      </c>
      <c r="C479" t="s">
        <v>1798</v>
      </c>
      <c r="D479" t="s">
        <v>1798</v>
      </c>
      <c r="E479" t="s">
        <v>1584</v>
      </c>
      <c r="F479" t="s">
        <v>184</v>
      </c>
      <c r="H479" t="s">
        <v>1830</v>
      </c>
      <c r="I479" t="s">
        <v>1831</v>
      </c>
      <c r="K479" t="s">
        <v>1832</v>
      </c>
      <c r="L479" t="s">
        <v>1832</v>
      </c>
      <c r="M479" t="s">
        <v>1787</v>
      </c>
      <c r="N479" s="5" t="s">
        <v>1833</v>
      </c>
    </row>
    <row r="480" spans="1:14">
      <c r="A480" t="s">
        <v>1834</v>
      </c>
      <c r="B480" t="s">
        <v>1834</v>
      </c>
      <c r="C480" t="s">
        <v>1834</v>
      </c>
      <c r="D480" t="s">
        <v>1834</v>
      </c>
      <c r="E480" t="s">
        <v>1673</v>
      </c>
      <c r="F480" t="s">
        <v>184</v>
      </c>
      <c r="H480" t="s">
        <v>1835</v>
      </c>
      <c r="K480" t="s">
        <v>1836</v>
      </c>
      <c r="M480" t="s">
        <v>1787</v>
      </c>
      <c r="N480" s="5" t="s">
        <v>1837</v>
      </c>
    </row>
    <row r="481" spans="1:14">
      <c r="A481" t="s">
        <v>1838</v>
      </c>
      <c r="B481" t="s">
        <v>1838</v>
      </c>
      <c r="C481" t="s">
        <v>1838</v>
      </c>
      <c r="D481" t="s">
        <v>1838</v>
      </c>
      <c r="F481" t="s">
        <v>184</v>
      </c>
      <c r="H481" t="s">
        <v>1839</v>
      </c>
      <c r="K481" t="s">
        <v>1804</v>
      </c>
      <c r="M481" t="s">
        <v>1787</v>
      </c>
      <c r="N481" s="5">
        <v>59553</v>
      </c>
    </row>
    <row r="482" spans="1:14">
      <c r="A482" t="s">
        <v>1840</v>
      </c>
      <c r="B482" t="s">
        <v>1840</v>
      </c>
      <c r="C482" t="s">
        <v>1840</v>
      </c>
      <c r="D482" t="s">
        <v>1840</v>
      </c>
      <c r="E482" t="s">
        <v>1673</v>
      </c>
      <c r="F482" t="s">
        <v>184</v>
      </c>
      <c r="H482" t="s">
        <v>1841</v>
      </c>
      <c r="I482" t="s">
        <v>1842</v>
      </c>
      <c r="K482" t="s">
        <v>1843</v>
      </c>
      <c r="M482" t="s">
        <v>1787</v>
      </c>
      <c r="N482" s="5">
        <v>60300</v>
      </c>
    </row>
    <row r="487" ht="27" customHeight="1" spans="1:14">
      <c r="A487" s="6" t="s">
        <v>1844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8"/>
    </row>
    <row r="488" spans="1:14">
      <c r="A488" t="s">
        <v>1845</v>
      </c>
      <c r="B488" t="s">
        <v>1845</v>
      </c>
      <c r="C488" t="s">
        <v>1845</v>
      </c>
      <c r="D488" t="s">
        <v>1845</v>
      </c>
      <c r="F488" t="s">
        <v>184</v>
      </c>
      <c r="H488" t="s">
        <v>1846</v>
      </c>
      <c r="K488" t="s">
        <v>1847</v>
      </c>
      <c r="L488" t="s">
        <v>1848</v>
      </c>
      <c r="M488" t="s">
        <v>332</v>
      </c>
      <c r="N488" s="5" t="s">
        <v>1849</v>
      </c>
    </row>
    <row r="489" spans="1:14">
      <c r="A489" t="s">
        <v>1850</v>
      </c>
      <c r="B489" t="s">
        <v>1850</v>
      </c>
      <c r="C489" t="s">
        <v>1850</v>
      </c>
      <c r="D489" t="s">
        <v>1850</v>
      </c>
      <c r="F489" t="s">
        <v>184</v>
      </c>
      <c r="H489" t="s">
        <v>1851</v>
      </c>
      <c r="K489" t="s">
        <v>1852</v>
      </c>
      <c r="L489" t="s">
        <v>1853</v>
      </c>
      <c r="M489" t="s">
        <v>332</v>
      </c>
      <c r="N489" s="5" t="s">
        <v>1854</v>
      </c>
    </row>
    <row r="490" spans="1:14">
      <c r="A490" t="s">
        <v>1855</v>
      </c>
      <c r="B490" t="s">
        <v>1855</v>
      </c>
      <c r="C490" t="s">
        <v>1855</v>
      </c>
      <c r="D490" t="s">
        <v>1855</v>
      </c>
      <c r="F490" t="s">
        <v>184</v>
      </c>
      <c r="H490" t="s">
        <v>1856</v>
      </c>
      <c r="K490" t="s">
        <v>1852</v>
      </c>
      <c r="L490" t="s">
        <v>1853</v>
      </c>
      <c r="M490" t="s">
        <v>332</v>
      </c>
      <c r="N490" s="5" t="s">
        <v>1857</v>
      </c>
    </row>
    <row r="491" spans="1:14">
      <c r="A491" t="s">
        <v>1858</v>
      </c>
      <c r="B491" t="s">
        <v>1858</v>
      </c>
      <c r="C491" t="s">
        <v>1858</v>
      </c>
      <c r="D491" t="s">
        <v>1858</v>
      </c>
      <c r="F491" t="s">
        <v>184</v>
      </c>
      <c r="H491" t="s">
        <v>1859</v>
      </c>
      <c r="K491" t="s">
        <v>1860</v>
      </c>
      <c r="L491" t="s">
        <v>1853</v>
      </c>
      <c r="M491" t="s">
        <v>332</v>
      </c>
      <c r="N491" s="5" t="s">
        <v>1861</v>
      </c>
    </row>
    <row r="492" spans="1:14">
      <c r="A492" t="s">
        <v>1862</v>
      </c>
      <c r="B492" t="s">
        <v>1862</v>
      </c>
      <c r="C492" t="s">
        <v>1862</v>
      </c>
      <c r="D492" t="s">
        <v>1862</v>
      </c>
      <c r="F492" t="s">
        <v>184</v>
      </c>
      <c r="H492" t="s">
        <v>1863</v>
      </c>
      <c r="K492" t="s">
        <v>1860</v>
      </c>
      <c r="L492" t="s">
        <v>1853</v>
      </c>
      <c r="M492" t="s">
        <v>332</v>
      </c>
      <c r="N492" s="5" t="s">
        <v>1864</v>
      </c>
    </row>
    <row r="493" spans="1:14">
      <c r="A493" t="s">
        <v>1865</v>
      </c>
      <c r="B493" t="s">
        <v>1865</v>
      </c>
      <c r="C493" t="s">
        <v>1865</v>
      </c>
      <c r="D493" t="s">
        <v>1865</v>
      </c>
      <c r="F493" t="s">
        <v>184</v>
      </c>
      <c r="H493" t="s">
        <v>1866</v>
      </c>
      <c r="K493" t="s">
        <v>1852</v>
      </c>
      <c r="L493" t="s">
        <v>1853</v>
      </c>
      <c r="M493" t="s">
        <v>332</v>
      </c>
      <c r="N493" s="5" t="s">
        <v>1867</v>
      </c>
    </row>
    <row r="494" spans="1:14">
      <c r="A494" t="s">
        <v>1868</v>
      </c>
      <c r="B494" t="s">
        <v>1868</v>
      </c>
      <c r="C494" t="s">
        <v>1868</v>
      </c>
      <c r="D494" t="s">
        <v>1868</v>
      </c>
      <c r="F494" t="s">
        <v>184</v>
      </c>
      <c r="H494" t="s">
        <v>1869</v>
      </c>
      <c r="K494" t="s">
        <v>1870</v>
      </c>
      <c r="L494" t="s">
        <v>1848</v>
      </c>
      <c r="M494" t="s">
        <v>332</v>
      </c>
      <c r="N494" s="5" t="s">
        <v>1871</v>
      </c>
    </row>
    <row r="495" spans="1:14">
      <c r="A495" t="s">
        <v>1872</v>
      </c>
      <c r="B495" t="s">
        <v>1872</v>
      </c>
      <c r="C495" t="s">
        <v>1872</v>
      </c>
      <c r="D495" t="s">
        <v>1872</v>
      </c>
      <c r="F495" t="s">
        <v>184</v>
      </c>
      <c r="H495" t="s">
        <v>1873</v>
      </c>
      <c r="K495" t="s">
        <v>1874</v>
      </c>
      <c r="L495" t="s">
        <v>1848</v>
      </c>
      <c r="M495" t="s">
        <v>332</v>
      </c>
      <c r="N495" s="5" t="s">
        <v>1849</v>
      </c>
    </row>
    <row r="496" spans="1:14">
      <c r="A496" t="s">
        <v>1875</v>
      </c>
      <c r="B496" t="s">
        <v>1875</v>
      </c>
      <c r="C496" t="s">
        <v>1875</v>
      </c>
      <c r="D496" t="s">
        <v>1875</v>
      </c>
      <c r="F496" t="s">
        <v>184</v>
      </c>
      <c r="H496" t="s">
        <v>1876</v>
      </c>
      <c r="K496" t="s">
        <v>1877</v>
      </c>
      <c r="L496" t="s">
        <v>1878</v>
      </c>
      <c r="M496" t="s">
        <v>332</v>
      </c>
      <c r="N496" s="5" t="s">
        <v>1879</v>
      </c>
    </row>
    <row r="497" spans="1:14">
      <c r="A497" t="s">
        <v>1880</v>
      </c>
      <c r="B497" t="s">
        <v>1880</v>
      </c>
      <c r="C497" t="s">
        <v>1880</v>
      </c>
      <c r="D497" t="s">
        <v>1880</v>
      </c>
      <c r="F497" t="s">
        <v>184</v>
      </c>
      <c r="H497" t="s">
        <v>1881</v>
      </c>
      <c r="K497" t="s">
        <v>1877</v>
      </c>
      <c r="L497" t="s">
        <v>1878</v>
      </c>
      <c r="M497" t="s">
        <v>332</v>
      </c>
      <c r="N497" s="5" t="s">
        <v>1882</v>
      </c>
    </row>
    <row r="498" spans="1:14">
      <c r="A498" t="s">
        <v>1883</v>
      </c>
      <c r="B498" t="s">
        <v>1883</v>
      </c>
      <c r="C498" t="s">
        <v>1883</v>
      </c>
      <c r="D498" t="s">
        <v>1883</v>
      </c>
      <c r="F498" t="s">
        <v>184</v>
      </c>
      <c r="H498" t="s">
        <v>1884</v>
      </c>
      <c r="K498" t="s">
        <v>1885</v>
      </c>
      <c r="L498" t="s">
        <v>1886</v>
      </c>
      <c r="M498" t="s">
        <v>332</v>
      </c>
      <c r="N498" s="5" t="s">
        <v>1887</v>
      </c>
    </row>
    <row r="499" spans="1:14">
      <c r="A499" t="s">
        <v>1888</v>
      </c>
      <c r="B499" t="s">
        <v>1888</v>
      </c>
      <c r="C499" t="s">
        <v>1888</v>
      </c>
      <c r="D499" t="s">
        <v>1888</v>
      </c>
      <c r="F499" t="s">
        <v>184</v>
      </c>
      <c r="H499" t="s">
        <v>1889</v>
      </c>
      <c r="K499" t="s">
        <v>1890</v>
      </c>
      <c r="L499" t="s">
        <v>1853</v>
      </c>
      <c r="M499" t="s">
        <v>332</v>
      </c>
      <c r="N499" s="5" t="s">
        <v>1891</v>
      </c>
    </row>
    <row r="500" spans="1:14">
      <c r="A500" t="s">
        <v>1892</v>
      </c>
      <c r="B500" t="s">
        <v>1892</v>
      </c>
      <c r="C500" t="s">
        <v>1892</v>
      </c>
      <c r="D500" t="s">
        <v>1892</v>
      </c>
      <c r="E500" t="s">
        <v>549</v>
      </c>
      <c r="F500" t="s">
        <v>184</v>
      </c>
      <c r="H500" t="s">
        <v>1893</v>
      </c>
      <c r="K500" t="s">
        <v>1894</v>
      </c>
      <c r="L500" t="s">
        <v>1853</v>
      </c>
      <c r="M500" t="s">
        <v>332</v>
      </c>
      <c r="N500" s="5" t="s">
        <v>1895</v>
      </c>
    </row>
    <row r="501" spans="1:14">
      <c r="A501" t="s">
        <v>1896</v>
      </c>
      <c r="B501" t="s">
        <v>1896</v>
      </c>
      <c r="C501" t="s">
        <v>1896</v>
      </c>
      <c r="D501" t="s">
        <v>1896</v>
      </c>
      <c r="E501" t="s">
        <v>549</v>
      </c>
      <c r="F501" t="s">
        <v>184</v>
      </c>
      <c r="H501" t="s">
        <v>1897</v>
      </c>
      <c r="K501" t="s">
        <v>1898</v>
      </c>
      <c r="L501" t="s">
        <v>1853</v>
      </c>
      <c r="M501" t="s">
        <v>332</v>
      </c>
      <c r="N501" s="5" t="s">
        <v>1899</v>
      </c>
    </row>
    <row r="502" spans="1:14">
      <c r="A502" t="s">
        <v>1900</v>
      </c>
      <c r="B502" t="s">
        <v>1900</v>
      </c>
      <c r="C502" t="s">
        <v>1900</v>
      </c>
      <c r="D502" t="s">
        <v>1900</v>
      </c>
      <c r="E502" t="s">
        <v>1901</v>
      </c>
      <c r="F502" t="s">
        <v>184</v>
      </c>
      <c r="H502" t="s">
        <v>1902</v>
      </c>
      <c r="K502" t="s">
        <v>1903</v>
      </c>
      <c r="L502" t="s">
        <v>1848</v>
      </c>
      <c r="M502" t="s">
        <v>332</v>
      </c>
      <c r="N502" s="5" t="s">
        <v>1904</v>
      </c>
    </row>
    <row r="503" spans="1:14">
      <c r="A503" t="s">
        <v>1905</v>
      </c>
      <c r="B503" t="s">
        <v>1905</v>
      </c>
      <c r="C503" t="s">
        <v>1905</v>
      </c>
      <c r="D503" t="s">
        <v>1905</v>
      </c>
      <c r="F503" t="s">
        <v>184</v>
      </c>
      <c r="H503" t="s">
        <v>1906</v>
      </c>
      <c r="K503" t="s">
        <v>1907</v>
      </c>
      <c r="L503" t="s">
        <v>1908</v>
      </c>
      <c r="M503" t="s">
        <v>332</v>
      </c>
      <c r="N503" s="5" t="s">
        <v>1909</v>
      </c>
    </row>
    <row r="504" spans="1:14">
      <c r="A504" t="s">
        <v>1910</v>
      </c>
      <c r="B504" t="s">
        <v>1910</v>
      </c>
      <c r="C504" t="s">
        <v>1910</v>
      </c>
      <c r="D504" t="s">
        <v>1910</v>
      </c>
      <c r="F504" t="s">
        <v>184</v>
      </c>
      <c r="H504" t="s">
        <v>1911</v>
      </c>
      <c r="K504" t="s">
        <v>1912</v>
      </c>
      <c r="L504" t="s">
        <v>1853</v>
      </c>
      <c r="M504" t="s">
        <v>332</v>
      </c>
      <c r="N504" s="5" t="s">
        <v>1913</v>
      </c>
    </row>
    <row r="505" spans="1:14">
      <c r="A505" t="s">
        <v>1914</v>
      </c>
      <c r="B505" t="s">
        <v>1914</v>
      </c>
      <c r="D505" t="s">
        <v>1914</v>
      </c>
      <c r="F505" t="s">
        <v>184</v>
      </c>
      <c r="H505" t="s">
        <v>1915</v>
      </c>
      <c r="K505" t="s">
        <v>1916</v>
      </c>
      <c r="L505" t="s">
        <v>1878</v>
      </c>
      <c r="M505" t="s">
        <v>332</v>
      </c>
      <c r="N505" s="5" t="s">
        <v>1917</v>
      </c>
    </row>
    <row r="506" spans="1:14">
      <c r="A506" t="s">
        <v>1918</v>
      </c>
      <c r="B506" t="s">
        <v>1918</v>
      </c>
      <c r="C506" t="s">
        <v>1918</v>
      </c>
      <c r="D506" t="s">
        <v>1918</v>
      </c>
      <c r="F506" t="s">
        <v>184</v>
      </c>
      <c r="H506" t="s">
        <v>1919</v>
      </c>
      <c r="K506" t="s">
        <v>1920</v>
      </c>
      <c r="L506" t="s">
        <v>1853</v>
      </c>
      <c r="M506" t="s">
        <v>332</v>
      </c>
      <c r="N506" s="5" t="s">
        <v>1921</v>
      </c>
    </row>
    <row r="507" spans="1:14">
      <c r="A507" t="s">
        <v>1922</v>
      </c>
      <c r="B507" t="s">
        <v>1922</v>
      </c>
      <c r="C507" t="s">
        <v>1922</v>
      </c>
      <c r="D507" t="s">
        <v>1922</v>
      </c>
      <c r="F507" t="s">
        <v>184</v>
      </c>
      <c r="H507" t="s">
        <v>1923</v>
      </c>
      <c r="K507" t="s">
        <v>1924</v>
      </c>
      <c r="L507" t="s">
        <v>1878</v>
      </c>
      <c r="M507" t="s">
        <v>332</v>
      </c>
      <c r="N507" s="5" t="s">
        <v>1925</v>
      </c>
    </row>
    <row r="508" spans="1:14">
      <c r="A508" t="s">
        <v>1926</v>
      </c>
      <c r="B508" t="s">
        <v>1926</v>
      </c>
      <c r="C508" t="s">
        <v>1926</v>
      </c>
      <c r="D508" t="s">
        <v>1926</v>
      </c>
      <c r="F508" t="s">
        <v>184</v>
      </c>
      <c r="H508" t="s">
        <v>1927</v>
      </c>
      <c r="K508" t="s">
        <v>1912</v>
      </c>
      <c r="L508" t="s">
        <v>1853</v>
      </c>
      <c r="M508" t="s">
        <v>332</v>
      </c>
      <c r="N508" s="5" t="s">
        <v>1913</v>
      </c>
    </row>
    <row r="509" spans="1:14">
      <c r="A509" t="s">
        <v>1928</v>
      </c>
      <c r="B509" t="s">
        <v>1928</v>
      </c>
      <c r="C509" t="s">
        <v>1928</v>
      </c>
      <c r="D509" t="s">
        <v>1928</v>
      </c>
      <c r="F509" t="s">
        <v>184</v>
      </c>
      <c r="H509" t="s">
        <v>1929</v>
      </c>
      <c r="K509" t="s">
        <v>1930</v>
      </c>
      <c r="L509" t="s">
        <v>1878</v>
      </c>
      <c r="M509" t="s">
        <v>332</v>
      </c>
      <c r="N509" s="5" t="s">
        <v>1931</v>
      </c>
    </row>
    <row r="514" ht="27" customHeight="1" spans="1:14">
      <c r="A514" s="6" t="s">
        <v>1932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8"/>
    </row>
    <row r="515" spans="1:14">
      <c r="A515" t="s">
        <v>1933</v>
      </c>
      <c r="B515" t="s">
        <v>1933</v>
      </c>
      <c r="C515" t="s">
        <v>1933</v>
      </c>
      <c r="D515" t="s">
        <v>1933</v>
      </c>
      <c r="E515" t="s">
        <v>1584</v>
      </c>
      <c r="F515" t="s">
        <v>184</v>
      </c>
      <c r="H515" t="s">
        <v>1934</v>
      </c>
      <c r="K515" t="s">
        <v>1935</v>
      </c>
      <c r="L515" t="s">
        <v>1935</v>
      </c>
      <c r="M515" t="s">
        <v>1936</v>
      </c>
      <c r="N515" s="5" t="s">
        <v>1937</v>
      </c>
    </row>
    <row r="516" spans="1:14">
      <c r="A516" t="s">
        <v>1938</v>
      </c>
      <c r="B516" t="s">
        <v>1938</v>
      </c>
      <c r="C516" t="s">
        <v>1938</v>
      </c>
      <c r="D516" t="s">
        <v>1938</v>
      </c>
      <c r="E516" t="s">
        <v>1584</v>
      </c>
      <c r="F516" t="s">
        <v>184</v>
      </c>
      <c r="H516" t="s">
        <v>1939</v>
      </c>
      <c r="K516" t="s">
        <v>1940</v>
      </c>
      <c r="L516" t="s">
        <v>1941</v>
      </c>
      <c r="M516" t="s">
        <v>1936</v>
      </c>
      <c r="N516" s="5" t="s">
        <v>1942</v>
      </c>
    </row>
    <row r="517" spans="1:14">
      <c r="A517" t="s">
        <v>1943</v>
      </c>
      <c r="B517" t="s">
        <v>1943</v>
      </c>
      <c r="C517" t="s">
        <v>1943</v>
      </c>
      <c r="D517" t="s">
        <v>1943</v>
      </c>
      <c r="E517" t="s">
        <v>1584</v>
      </c>
      <c r="F517" t="s">
        <v>184</v>
      </c>
      <c r="H517" t="s">
        <v>1944</v>
      </c>
      <c r="K517" t="s">
        <v>1945</v>
      </c>
      <c r="L517" t="s">
        <v>1945</v>
      </c>
      <c r="M517" t="s">
        <v>1936</v>
      </c>
      <c r="N517" s="5" t="s">
        <v>1946</v>
      </c>
    </row>
    <row r="518" spans="1:14">
      <c r="A518" t="s">
        <v>1947</v>
      </c>
      <c r="B518" t="s">
        <v>1947</v>
      </c>
      <c r="C518" t="s">
        <v>1947</v>
      </c>
      <c r="D518" t="s">
        <v>1947</v>
      </c>
      <c r="E518" t="s">
        <v>1584</v>
      </c>
      <c r="F518" t="s">
        <v>184</v>
      </c>
      <c r="H518" t="s">
        <v>1948</v>
      </c>
      <c r="K518" t="s">
        <v>1949</v>
      </c>
      <c r="L518" t="s">
        <v>1949</v>
      </c>
      <c r="M518" t="s">
        <v>1936</v>
      </c>
      <c r="N518" s="5" t="s">
        <v>1950</v>
      </c>
    </row>
    <row r="519" spans="1:14">
      <c r="A519" t="s">
        <v>1951</v>
      </c>
      <c r="B519" t="s">
        <v>1951</v>
      </c>
      <c r="C519" t="s">
        <v>1951</v>
      </c>
      <c r="D519" t="s">
        <v>1951</v>
      </c>
      <c r="E519" t="s">
        <v>1584</v>
      </c>
      <c r="F519" t="s">
        <v>184</v>
      </c>
      <c r="H519" t="s">
        <v>1952</v>
      </c>
      <c r="K519" t="s">
        <v>1953</v>
      </c>
      <c r="L519" t="s">
        <v>1953</v>
      </c>
      <c r="M519" t="s">
        <v>1936</v>
      </c>
      <c r="N519" s="5" t="s">
        <v>1954</v>
      </c>
    </row>
    <row r="520" spans="1:14">
      <c r="A520" t="s">
        <v>1955</v>
      </c>
      <c r="B520" t="s">
        <v>1955</v>
      </c>
      <c r="C520" t="s">
        <v>1955</v>
      </c>
      <c r="D520" t="s">
        <v>1955</v>
      </c>
      <c r="E520" t="s">
        <v>1584</v>
      </c>
      <c r="F520" t="s">
        <v>184</v>
      </c>
      <c r="H520" t="s">
        <v>1956</v>
      </c>
      <c r="K520" t="s">
        <v>1957</v>
      </c>
      <c r="L520" t="s">
        <v>1957</v>
      </c>
      <c r="M520" t="s">
        <v>1936</v>
      </c>
      <c r="N520" s="5" t="s">
        <v>1958</v>
      </c>
    </row>
    <row r="521" spans="1:14">
      <c r="A521" t="s">
        <v>1959</v>
      </c>
      <c r="B521" t="s">
        <v>1959</v>
      </c>
      <c r="C521" t="s">
        <v>1959</v>
      </c>
      <c r="D521" t="s">
        <v>1959</v>
      </c>
      <c r="E521" t="s">
        <v>1584</v>
      </c>
      <c r="F521" t="s">
        <v>184</v>
      </c>
      <c r="H521" t="s">
        <v>1960</v>
      </c>
      <c r="K521" t="s">
        <v>1957</v>
      </c>
      <c r="L521" t="s">
        <v>1961</v>
      </c>
      <c r="M521" t="s">
        <v>1936</v>
      </c>
      <c r="N521" s="5" t="s">
        <v>1962</v>
      </c>
    </row>
    <row r="522" spans="1:14">
      <c r="A522" t="s">
        <v>1963</v>
      </c>
      <c r="B522" t="s">
        <v>1963</v>
      </c>
      <c r="C522" t="s">
        <v>1963</v>
      </c>
      <c r="D522" t="s">
        <v>1963</v>
      </c>
      <c r="E522" t="s">
        <v>1584</v>
      </c>
      <c r="F522" t="s">
        <v>184</v>
      </c>
      <c r="H522" t="s">
        <v>1964</v>
      </c>
      <c r="K522" t="s">
        <v>1965</v>
      </c>
      <c r="L522" t="s">
        <v>1965</v>
      </c>
      <c r="M522" t="s">
        <v>1936</v>
      </c>
      <c r="N522" s="5" t="s">
        <v>1966</v>
      </c>
    </row>
    <row r="523" spans="1:14">
      <c r="A523" t="s">
        <v>1967</v>
      </c>
      <c r="B523" t="s">
        <v>1967</v>
      </c>
      <c r="C523" t="s">
        <v>1967</v>
      </c>
      <c r="D523" t="s">
        <v>1967</v>
      </c>
      <c r="E523" t="s">
        <v>1584</v>
      </c>
      <c r="F523" t="s">
        <v>184</v>
      </c>
      <c r="H523" t="s">
        <v>1968</v>
      </c>
      <c r="K523" t="s">
        <v>1969</v>
      </c>
      <c r="L523" t="s">
        <v>1969</v>
      </c>
      <c r="M523" t="s">
        <v>1936</v>
      </c>
      <c r="N523" s="5" t="s">
        <v>1970</v>
      </c>
    </row>
    <row r="524" spans="1:14">
      <c r="A524" t="s">
        <v>1971</v>
      </c>
      <c r="B524" t="s">
        <v>1971</v>
      </c>
      <c r="C524" t="s">
        <v>1971</v>
      </c>
      <c r="D524" t="s">
        <v>1971</v>
      </c>
      <c r="E524" t="s">
        <v>1584</v>
      </c>
      <c r="F524" t="s">
        <v>184</v>
      </c>
      <c r="H524" t="s">
        <v>1972</v>
      </c>
      <c r="K524" t="s">
        <v>1973</v>
      </c>
      <c r="L524" t="s">
        <v>1973</v>
      </c>
      <c r="M524" t="s">
        <v>1936</v>
      </c>
      <c r="N524" s="5" t="s">
        <v>1974</v>
      </c>
    </row>
    <row r="525" spans="1:14">
      <c r="A525" t="s">
        <v>1975</v>
      </c>
      <c r="B525" t="s">
        <v>1975</v>
      </c>
      <c r="C525" t="s">
        <v>1975</v>
      </c>
      <c r="D525" t="s">
        <v>1975</v>
      </c>
      <c r="E525" t="s">
        <v>1584</v>
      </c>
      <c r="F525" t="s">
        <v>184</v>
      </c>
      <c r="H525" t="s">
        <v>1976</v>
      </c>
      <c r="K525" t="s">
        <v>1977</v>
      </c>
      <c r="L525" t="s">
        <v>1977</v>
      </c>
      <c r="M525" t="s">
        <v>1936</v>
      </c>
      <c r="N525" s="5" t="s">
        <v>1978</v>
      </c>
    </row>
    <row r="526" spans="1:14">
      <c r="A526" t="s">
        <v>1979</v>
      </c>
      <c r="B526" t="s">
        <v>1979</v>
      </c>
      <c r="C526" t="s">
        <v>1979</v>
      </c>
      <c r="D526" t="s">
        <v>1979</v>
      </c>
      <c r="E526" t="s">
        <v>1584</v>
      </c>
      <c r="F526" t="s">
        <v>184</v>
      </c>
      <c r="H526" t="s">
        <v>1980</v>
      </c>
      <c r="K526" t="s">
        <v>1973</v>
      </c>
      <c r="L526" t="s">
        <v>1973</v>
      </c>
      <c r="M526" t="s">
        <v>1936</v>
      </c>
      <c r="N526" s="5" t="s">
        <v>1981</v>
      </c>
    </row>
    <row r="527" spans="1:14">
      <c r="A527" t="s">
        <v>1982</v>
      </c>
      <c r="B527" t="s">
        <v>1982</v>
      </c>
      <c r="C527" t="s">
        <v>1982</v>
      </c>
      <c r="D527" t="s">
        <v>1982</v>
      </c>
      <c r="E527" t="s">
        <v>1584</v>
      </c>
      <c r="F527" t="s">
        <v>184</v>
      </c>
      <c r="H527" t="s">
        <v>1983</v>
      </c>
      <c r="K527" t="s">
        <v>1984</v>
      </c>
      <c r="L527" t="s">
        <v>1985</v>
      </c>
      <c r="M527" t="s">
        <v>1936</v>
      </c>
      <c r="N527" s="5" t="s">
        <v>1986</v>
      </c>
    </row>
    <row r="528" spans="1:14">
      <c r="A528" t="s">
        <v>1987</v>
      </c>
      <c r="B528" t="s">
        <v>1987</v>
      </c>
      <c r="C528" t="s">
        <v>1987</v>
      </c>
      <c r="D528" t="s">
        <v>1987</v>
      </c>
      <c r="E528" t="s">
        <v>1584</v>
      </c>
      <c r="F528" t="s">
        <v>184</v>
      </c>
      <c r="H528" t="s">
        <v>1988</v>
      </c>
      <c r="K528" t="s">
        <v>1989</v>
      </c>
      <c r="L528" t="s">
        <v>1990</v>
      </c>
      <c r="M528" t="s">
        <v>1936</v>
      </c>
      <c r="N528" s="5" t="s">
        <v>1991</v>
      </c>
    </row>
    <row r="529" spans="1:14">
      <c r="A529" t="s">
        <v>1992</v>
      </c>
      <c r="B529" t="s">
        <v>1992</v>
      </c>
      <c r="C529" t="s">
        <v>1992</v>
      </c>
      <c r="D529" t="s">
        <v>1992</v>
      </c>
      <c r="E529" t="s">
        <v>1584</v>
      </c>
      <c r="F529" t="s">
        <v>184</v>
      </c>
      <c r="H529" t="s">
        <v>1993</v>
      </c>
      <c r="K529" t="s">
        <v>1994</v>
      </c>
      <c r="L529" t="s">
        <v>1994</v>
      </c>
      <c r="M529" t="s">
        <v>1936</v>
      </c>
      <c r="N529" s="5" t="s">
        <v>1995</v>
      </c>
    </row>
    <row r="530" spans="1:14">
      <c r="A530" t="s">
        <v>1996</v>
      </c>
      <c r="B530" t="s">
        <v>1996</v>
      </c>
      <c r="C530" t="s">
        <v>1996</v>
      </c>
      <c r="D530" t="s">
        <v>1996</v>
      </c>
      <c r="E530" t="s">
        <v>1584</v>
      </c>
      <c r="F530" t="s">
        <v>184</v>
      </c>
      <c r="H530" t="s">
        <v>1997</v>
      </c>
      <c r="K530" t="s">
        <v>1998</v>
      </c>
      <c r="L530" t="s">
        <v>1999</v>
      </c>
      <c r="M530" t="s">
        <v>1936</v>
      </c>
      <c r="N530" s="5" t="s">
        <v>2000</v>
      </c>
    </row>
    <row r="531" spans="1:14">
      <c r="A531" t="s">
        <v>2001</v>
      </c>
      <c r="B531" t="s">
        <v>2001</v>
      </c>
      <c r="C531" t="s">
        <v>2001</v>
      </c>
      <c r="D531" t="s">
        <v>2001</v>
      </c>
      <c r="E531" t="s">
        <v>1584</v>
      </c>
      <c r="F531" t="s">
        <v>184</v>
      </c>
      <c r="H531" t="s">
        <v>2002</v>
      </c>
      <c r="K531" t="s">
        <v>2003</v>
      </c>
      <c r="L531" t="s">
        <v>2003</v>
      </c>
      <c r="M531" t="s">
        <v>1936</v>
      </c>
      <c r="N531" s="5" t="s">
        <v>2004</v>
      </c>
    </row>
    <row r="532" spans="1:14">
      <c r="A532" t="s">
        <v>2005</v>
      </c>
      <c r="B532" t="s">
        <v>2005</v>
      </c>
      <c r="C532" t="s">
        <v>2005</v>
      </c>
      <c r="D532" t="s">
        <v>2005</v>
      </c>
      <c r="E532" t="s">
        <v>1584</v>
      </c>
      <c r="F532" t="s">
        <v>184</v>
      </c>
      <c r="H532" t="s">
        <v>2006</v>
      </c>
      <c r="K532" t="s">
        <v>2007</v>
      </c>
      <c r="L532" t="s">
        <v>2008</v>
      </c>
      <c r="M532" t="s">
        <v>1936</v>
      </c>
      <c r="N532" s="5" t="s">
        <v>2009</v>
      </c>
    </row>
    <row r="533" spans="1:14">
      <c r="A533" t="s">
        <v>2010</v>
      </c>
      <c r="B533" t="s">
        <v>2010</v>
      </c>
      <c r="C533" t="s">
        <v>2010</v>
      </c>
      <c r="D533" t="s">
        <v>2010</v>
      </c>
      <c r="E533" t="s">
        <v>1584</v>
      </c>
      <c r="F533" t="s">
        <v>184</v>
      </c>
      <c r="H533" t="s">
        <v>2011</v>
      </c>
      <c r="K533" t="s">
        <v>2012</v>
      </c>
      <c r="L533" t="s">
        <v>2013</v>
      </c>
      <c r="M533" t="s">
        <v>1936</v>
      </c>
      <c r="N533" s="5" t="s">
        <v>2014</v>
      </c>
    </row>
    <row r="534" spans="1:14">
      <c r="A534" t="s">
        <v>2015</v>
      </c>
      <c r="B534" t="s">
        <v>2015</v>
      </c>
      <c r="C534" t="s">
        <v>2015</v>
      </c>
      <c r="D534" t="s">
        <v>2015</v>
      </c>
      <c r="E534" t="s">
        <v>1584</v>
      </c>
      <c r="F534" t="s">
        <v>184</v>
      </c>
      <c r="H534" t="s">
        <v>2016</v>
      </c>
      <c r="K534" t="s">
        <v>2017</v>
      </c>
      <c r="L534" t="s">
        <v>2017</v>
      </c>
      <c r="M534" t="s">
        <v>1936</v>
      </c>
      <c r="N534" s="5" t="s">
        <v>2018</v>
      </c>
    </row>
    <row r="535" spans="1:14">
      <c r="A535" t="s">
        <v>2019</v>
      </c>
      <c r="B535" t="s">
        <v>2019</v>
      </c>
      <c r="C535" t="s">
        <v>2019</v>
      </c>
      <c r="D535" t="s">
        <v>2019</v>
      </c>
      <c r="E535" t="s">
        <v>1584</v>
      </c>
      <c r="F535" t="s">
        <v>184</v>
      </c>
      <c r="H535" t="s">
        <v>2020</v>
      </c>
      <c r="K535" t="s">
        <v>2021</v>
      </c>
      <c r="L535" t="s">
        <v>2021</v>
      </c>
      <c r="M535" t="s">
        <v>1936</v>
      </c>
      <c r="N535" s="5" t="s">
        <v>2022</v>
      </c>
    </row>
    <row r="536" spans="1:14">
      <c r="A536" t="s">
        <v>2023</v>
      </c>
      <c r="B536" t="s">
        <v>2023</v>
      </c>
      <c r="C536" t="s">
        <v>2023</v>
      </c>
      <c r="D536" t="s">
        <v>2023</v>
      </c>
      <c r="E536" t="s">
        <v>1584</v>
      </c>
      <c r="F536" t="s">
        <v>184</v>
      </c>
      <c r="H536" t="s">
        <v>2024</v>
      </c>
      <c r="K536" t="s">
        <v>2025</v>
      </c>
      <c r="L536" t="s">
        <v>2026</v>
      </c>
      <c r="M536" t="s">
        <v>1936</v>
      </c>
      <c r="N536" s="5" t="s">
        <v>2027</v>
      </c>
    </row>
    <row r="537" spans="1:14">
      <c r="A537" t="s">
        <v>2028</v>
      </c>
      <c r="B537" t="s">
        <v>2028</v>
      </c>
      <c r="C537" t="s">
        <v>2028</v>
      </c>
      <c r="D537" t="s">
        <v>2028</v>
      </c>
      <c r="E537" t="s">
        <v>1584</v>
      </c>
      <c r="F537" t="s">
        <v>184</v>
      </c>
      <c r="H537" t="s">
        <v>2029</v>
      </c>
      <c r="K537" t="s">
        <v>2021</v>
      </c>
      <c r="L537" t="s">
        <v>2030</v>
      </c>
      <c r="M537" t="s">
        <v>1936</v>
      </c>
      <c r="N537" s="5" t="s">
        <v>2031</v>
      </c>
    </row>
    <row r="538" spans="1:14">
      <c r="A538" t="s">
        <v>2032</v>
      </c>
      <c r="B538" t="s">
        <v>2032</v>
      </c>
      <c r="C538" t="s">
        <v>2032</v>
      </c>
      <c r="D538" t="s">
        <v>2032</v>
      </c>
      <c r="E538" t="s">
        <v>1584</v>
      </c>
      <c r="F538" t="s">
        <v>184</v>
      </c>
      <c r="H538" t="s">
        <v>2033</v>
      </c>
      <c r="K538" t="s">
        <v>2034</v>
      </c>
      <c r="L538" t="s">
        <v>2034</v>
      </c>
      <c r="M538" t="s">
        <v>1936</v>
      </c>
      <c r="N538" s="5" t="s">
        <v>2035</v>
      </c>
    </row>
    <row r="539" spans="1:14">
      <c r="A539" t="s">
        <v>2036</v>
      </c>
      <c r="B539" t="s">
        <v>2036</v>
      </c>
      <c r="C539" t="s">
        <v>2036</v>
      </c>
      <c r="D539" t="s">
        <v>2036</v>
      </c>
      <c r="E539" t="s">
        <v>1584</v>
      </c>
      <c r="F539" t="s">
        <v>184</v>
      </c>
      <c r="H539" t="s">
        <v>2037</v>
      </c>
      <c r="K539" t="s">
        <v>2038</v>
      </c>
      <c r="L539" t="s">
        <v>2038</v>
      </c>
      <c r="M539" t="s">
        <v>1936</v>
      </c>
      <c r="N539" s="5" t="s">
        <v>2039</v>
      </c>
    </row>
    <row r="540" spans="1:14">
      <c r="A540" t="s">
        <v>2040</v>
      </c>
      <c r="B540" t="s">
        <v>2040</v>
      </c>
      <c r="C540" t="s">
        <v>2040</v>
      </c>
      <c r="D540" t="s">
        <v>2040</v>
      </c>
      <c r="E540" t="s">
        <v>1584</v>
      </c>
      <c r="F540" t="s">
        <v>184</v>
      </c>
      <c r="H540" t="s">
        <v>2041</v>
      </c>
      <c r="K540" t="s">
        <v>2042</v>
      </c>
      <c r="L540" t="s">
        <v>2042</v>
      </c>
      <c r="M540" t="s">
        <v>1936</v>
      </c>
      <c r="N540" s="5" t="s">
        <v>2043</v>
      </c>
    </row>
    <row r="541" spans="1:14">
      <c r="A541" t="s">
        <v>2044</v>
      </c>
      <c r="B541" t="s">
        <v>2044</v>
      </c>
      <c r="C541" t="s">
        <v>2044</v>
      </c>
      <c r="D541" t="s">
        <v>2044</v>
      </c>
      <c r="E541" t="s">
        <v>1584</v>
      </c>
      <c r="F541" t="s">
        <v>184</v>
      </c>
      <c r="H541" t="s">
        <v>1983</v>
      </c>
      <c r="K541" t="s">
        <v>1984</v>
      </c>
      <c r="L541" t="s">
        <v>1985</v>
      </c>
      <c r="M541" t="s">
        <v>1936</v>
      </c>
      <c r="N541" s="5" t="s">
        <v>1986</v>
      </c>
    </row>
    <row r="542" spans="1:14">
      <c r="A542" t="s">
        <v>2045</v>
      </c>
      <c r="B542" t="s">
        <v>2045</v>
      </c>
      <c r="C542" t="s">
        <v>2045</v>
      </c>
      <c r="D542" t="s">
        <v>2045</v>
      </c>
      <c r="E542" t="s">
        <v>1584</v>
      </c>
      <c r="F542" t="s">
        <v>184</v>
      </c>
      <c r="H542" t="s">
        <v>2046</v>
      </c>
      <c r="K542" t="s">
        <v>2047</v>
      </c>
      <c r="L542" t="s">
        <v>1949</v>
      </c>
      <c r="M542" t="s">
        <v>1936</v>
      </c>
      <c r="N542" s="5" t="s">
        <v>2048</v>
      </c>
    </row>
    <row r="543" spans="1:14">
      <c r="A543" t="s">
        <v>2049</v>
      </c>
      <c r="B543" t="s">
        <v>2049</v>
      </c>
      <c r="C543" t="s">
        <v>2049</v>
      </c>
      <c r="D543" t="s">
        <v>2049</v>
      </c>
      <c r="E543" t="s">
        <v>1584</v>
      </c>
      <c r="F543" t="s">
        <v>184</v>
      </c>
      <c r="H543" t="s">
        <v>2050</v>
      </c>
      <c r="K543" t="s">
        <v>1994</v>
      </c>
      <c r="M543" t="s">
        <v>1936</v>
      </c>
      <c r="N543" s="5" t="s">
        <v>2051</v>
      </c>
    </row>
    <row r="544" spans="1:14">
      <c r="A544" t="s">
        <v>2052</v>
      </c>
      <c r="B544" t="s">
        <v>2052</v>
      </c>
      <c r="C544" t="s">
        <v>2052</v>
      </c>
      <c r="D544" t="s">
        <v>2052</v>
      </c>
      <c r="E544" t="s">
        <v>1673</v>
      </c>
      <c r="F544" t="s">
        <v>2053</v>
      </c>
      <c r="H544" t="s">
        <v>2054</v>
      </c>
      <c r="K544" t="s">
        <v>1949</v>
      </c>
      <c r="L544" t="s">
        <v>2055</v>
      </c>
      <c r="M544" t="s">
        <v>1936</v>
      </c>
      <c r="N544" s="5" t="s">
        <v>2056</v>
      </c>
    </row>
    <row r="545" spans="1:14">
      <c r="A545" t="s">
        <v>2057</v>
      </c>
      <c r="B545" t="s">
        <v>2057</v>
      </c>
      <c r="C545" t="s">
        <v>2057</v>
      </c>
      <c r="D545" t="s">
        <v>2057</v>
      </c>
      <c r="H545" t="s">
        <v>2058</v>
      </c>
      <c r="K545" t="s">
        <v>2059</v>
      </c>
      <c r="L545" t="s">
        <v>1941</v>
      </c>
      <c r="M545" t="s">
        <v>1936</v>
      </c>
      <c r="N545" s="5" t="s">
        <v>2060</v>
      </c>
    </row>
    <row r="546" spans="1:14">
      <c r="A546" t="s">
        <v>2061</v>
      </c>
      <c r="B546" t="s">
        <v>2061</v>
      </c>
      <c r="C546" t="s">
        <v>2061</v>
      </c>
      <c r="D546" t="s">
        <v>2061</v>
      </c>
      <c r="F546" t="s">
        <v>184</v>
      </c>
      <c r="H546" t="s">
        <v>2062</v>
      </c>
      <c r="K546" t="s">
        <v>2063</v>
      </c>
      <c r="L546" t="s">
        <v>2064</v>
      </c>
      <c r="M546" t="s">
        <v>1936</v>
      </c>
      <c r="N546" s="5" t="s">
        <v>2065</v>
      </c>
    </row>
    <row r="547" spans="1:14">
      <c r="A547" t="s">
        <v>2066</v>
      </c>
      <c r="B547" t="s">
        <v>2066</v>
      </c>
      <c r="C547" t="s">
        <v>2066</v>
      </c>
      <c r="D547" t="s">
        <v>2066</v>
      </c>
      <c r="H547" t="s">
        <v>2067</v>
      </c>
      <c r="K547" t="s">
        <v>2068</v>
      </c>
      <c r="L547" t="s">
        <v>2069</v>
      </c>
      <c r="M547" t="s">
        <v>1936</v>
      </c>
      <c r="N547" s="5" t="s">
        <v>2070</v>
      </c>
    </row>
    <row r="548" spans="1:14">
      <c r="A548" t="s">
        <v>2071</v>
      </c>
      <c r="B548" t="s">
        <v>2071</v>
      </c>
      <c r="C548" t="s">
        <v>2071</v>
      </c>
      <c r="D548" t="s">
        <v>2071</v>
      </c>
      <c r="F548" t="s">
        <v>184</v>
      </c>
      <c r="H548" t="s">
        <v>2072</v>
      </c>
      <c r="K548" t="s">
        <v>2073</v>
      </c>
      <c r="L548" t="s">
        <v>2074</v>
      </c>
      <c r="M548" t="s">
        <v>1936</v>
      </c>
      <c r="N548" s="5" t="s">
        <v>2075</v>
      </c>
    </row>
    <row r="549" spans="1:14">
      <c r="A549" t="s">
        <v>2076</v>
      </c>
      <c r="B549" t="s">
        <v>2076</v>
      </c>
      <c r="C549" t="s">
        <v>2076</v>
      </c>
      <c r="D549" t="s">
        <v>2076</v>
      </c>
      <c r="F549" t="s">
        <v>184</v>
      </c>
      <c r="H549" t="s">
        <v>2077</v>
      </c>
      <c r="K549" t="s">
        <v>1994</v>
      </c>
      <c r="L549" t="s">
        <v>2078</v>
      </c>
      <c r="M549" t="s">
        <v>1936</v>
      </c>
      <c r="N549" s="5" t="s">
        <v>2079</v>
      </c>
    </row>
    <row r="550" spans="1:14">
      <c r="A550" t="s">
        <v>2080</v>
      </c>
      <c r="B550" t="s">
        <v>2080</v>
      </c>
      <c r="C550" t="s">
        <v>2080</v>
      </c>
      <c r="D550" t="s">
        <v>2080</v>
      </c>
      <c r="H550" t="s">
        <v>2081</v>
      </c>
      <c r="K550" t="s">
        <v>2082</v>
      </c>
      <c r="M550" t="s">
        <v>1936</v>
      </c>
      <c r="N550" s="5" t="s">
        <v>2083</v>
      </c>
    </row>
    <row r="551" spans="1:14">
      <c r="A551" t="s">
        <v>2084</v>
      </c>
      <c r="B551" t="s">
        <v>2084</v>
      </c>
      <c r="C551" t="s">
        <v>2084</v>
      </c>
      <c r="D551" t="s">
        <v>2084</v>
      </c>
      <c r="H551" t="s">
        <v>2085</v>
      </c>
      <c r="K551" t="s">
        <v>2086</v>
      </c>
      <c r="L551" t="s">
        <v>2087</v>
      </c>
      <c r="M551" t="s">
        <v>1936</v>
      </c>
      <c r="N551" s="5" t="s">
        <v>2088</v>
      </c>
    </row>
    <row r="552" spans="1:14">
      <c r="A552" t="s">
        <v>2089</v>
      </c>
      <c r="B552" t="s">
        <v>2089</v>
      </c>
      <c r="C552" t="s">
        <v>2089</v>
      </c>
      <c r="D552" t="s">
        <v>2089</v>
      </c>
      <c r="H552" t="s">
        <v>2090</v>
      </c>
      <c r="K552" t="s">
        <v>2091</v>
      </c>
      <c r="L552" t="s">
        <v>1953</v>
      </c>
      <c r="M552" t="s">
        <v>1936</v>
      </c>
      <c r="N552" s="5" t="s">
        <v>2092</v>
      </c>
    </row>
    <row r="553" spans="1:14">
      <c r="A553" t="s">
        <v>2093</v>
      </c>
      <c r="B553" t="s">
        <v>2093</v>
      </c>
      <c r="C553" t="s">
        <v>2093</v>
      </c>
      <c r="D553" t="s">
        <v>2093</v>
      </c>
      <c r="H553" t="s">
        <v>2094</v>
      </c>
      <c r="K553" t="s">
        <v>2095</v>
      </c>
      <c r="L553" t="s">
        <v>2096</v>
      </c>
      <c r="M553" t="s">
        <v>1936</v>
      </c>
      <c r="N553" s="5" t="s">
        <v>2097</v>
      </c>
    </row>
    <row r="556" ht="27" customHeight="1" spans="1:14">
      <c r="A556" s="6" t="s">
        <v>2098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</row>
    <row r="557" spans="1:14">
      <c r="A557" t="s">
        <v>2099</v>
      </c>
      <c r="B557" t="s">
        <v>2099</v>
      </c>
      <c r="C557" t="s">
        <v>2099</v>
      </c>
      <c r="D557" t="s">
        <v>2099</v>
      </c>
      <c r="E557" t="s">
        <v>549</v>
      </c>
      <c r="H557" t="s">
        <v>2100</v>
      </c>
      <c r="K557" t="s">
        <v>2101</v>
      </c>
      <c r="L557" t="s">
        <v>2102</v>
      </c>
      <c r="M557" t="s">
        <v>2103</v>
      </c>
      <c r="N557" s="5" t="s">
        <v>2104</v>
      </c>
    </row>
    <row r="558" spans="1:14">
      <c r="A558" t="s">
        <v>2105</v>
      </c>
      <c r="B558" t="s">
        <v>2105</v>
      </c>
      <c r="C558" t="s">
        <v>2105</v>
      </c>
      <c r="D558" t="s">
        <v>2105</v>
      </c>
      <c r="H558" t="s">
        <v>2106</v>
      </c>
      <c r="K558" t="s">
        <v>2107</v>
      </c>
      <c r="M558" t="s">
        <v>2103</v>
      </c>
      <c r="N558" s="5" t="s">
        <v>2108</v>
      </c>
    </row>
    <row r="559" spans="1:14">
      <c r="A559" t="s">
        <v>2109</v>
      </c>
      <c r="B559" t="s">
        <v>2109</v>
      </c>
      <c r="C559" t="s">
        <v>2109</v>
      </c>
      <c r="D559" t="s">
        <v>2109</v>
      </c>
      <c r="H559" t="s">
        <v>2110</v>
      </c>
      <c r="K559" t="s">
        <v>2111</v>
      </c>
      <c r="L559" t="s">
        <v>2112</v>
      </c>
      <c r="M559" t="s">
        <v>2103</v>
      </c>
      <c r="N559" s="5">
        <v>50197</v>
      </c>
    </row>
    <row r="560" spans="1:14">
      <c r="A560" s="10" t="s">
        <v>2113</v>
      </c>
      <c r="B560" s="10" t="s">
        <v>2113</v>
      </c>
      <c r="C560" s="10" t="s">
        <v>2113</v>
      </c>
      <c r="D560" s="10" t="s">
        <v>2113</v>
      </c>
      <c r="E560" s="10" t="s">
        <v>549</v>
      </c>
      <c r="F560" s="10" t="s">
        <v>1706</v>
      </c>
      <c r="G560" s="10"/>
      <c r="H560" s="10" t="s">
        <v>2114</v>
      </c>
      <c r="I560" s="10"/>
      <c r="J560" s="10"/>
      <c r="K560" s="10" t="s">
        <v>2115</v>
      </c>
      <c r="L560" s="10"/>
      <c r="M560" s="10" t="s">
        <v>2103</v>
      </c>
      <c r="N560" s="10" t="s">
        <v>2116</v>
      </c>
    </row>
    <row r="561" spans="1:14">
      <c r="A561" s="10" t="s">
        <v>2117</v>
      </c>
      <c r="B561" s="10" t="s">
        <v>2117</v>
      </c>
      <c r="C561" s="10" t="s">
        <v>2117</v>
      </c>
      <c r="D561" s="10" t="s">
        <v>2117</v>
      </c>
      <c r="E561" s="10" t="s">
        <v>549</v>
      </c>
      <c r="F561" s="10" t="s">
        <v>1706</v>
      </c>
      <c r="G561" s="10"/>
      <c r="H561" s="10" t="s">
        <v>2118</v>
      </c>
      <c r="I561" s="10"/>
      <c r="J561" s="10"/>
      <c r="K561" s="10" t="s">
        <v>2107</v>
      </c>
      <c r="L561" s="10"/>
      <c r="M561" s="10" t="s">
        <v>2103</v>
      </c>
      <c r="N561" s="10" t="s">
        <v>2108</v>
      </c>
    </row>
    <row r="562" spans="1:14">
      <c r="A562" s="10" t="s">
        <v>2119</v>
      </c>
      <c r="B562" s="10" t="s">
        <v>2119</v>
      </c>
      <c r="C562" s="10" t="s">
        <v>2119</v>
      </c>
      <c r="D562" s="10" t="s">
        <v>2119</v>
      </c>
      <c r="E562" s="10" t="s">
        <v>549</v>
      </c>
      <c r="F562" s="10" t="s">
        <v>1706</v>
      </c>
      <c r="G562" s="10"/>
      <c r="H562" s="10" t="s">
        <v>2120</v>
      </c>
      <c r="I562" s="10" t="s">
        <v>2121</v>
      </c>
      <c r="J562" s="10"/>
      <c r="K562" s="10" t="s">
        <v>2122</v>
      </c>
      <c r="L562" s="10"/>
      <c r="M562" s="10" t="s">
        <v>2103</v>
      </c>
      <c r="N562" s="10" t="s">
        <v>2123</v>
      </c>
    </row>
    <row r="563" spans="1:14">
      <c r="A563" s="10" t="s">
        <v>2124</v>
      </c>
      <c r="B563" s="10" t="s">
        <v>2124</v>
      </c>
      <c r="C563" s="10" t="s">
        <v>2124</v>
      </c>
      <c r="D563" s="10" t="s">
        <v>2124</v>
      </c>
      <c r="E563" s="10" t="s">
        <v>549</v>
      </c>
      <c r="F563" s="10" t="s">
        <v>1706</v>
      </c>
      <c r="G563" s="10"/>
      <c r="H563" s="10" t="s">
        <v>2125</v>
      </c>
      <c r="I563" s="10"/>
      <c r="J563" s="10"/>
      <c r="K563" s="10" t="s">
        <v>2126</v>
      </c>
      <c r="L563" s="10"/>
      <c r="M563" s="10" t="s">
        <v>2103</v>
      </c>
      <c r="N563" s="10" t="s">
        <v>2127</v>
      </c>
    </row>
    <row r="564" spans="1:14">
      <c r="A564" s="10" t="s">
        <v>2128</v>
      </c>
      <c r="B564" s="10" t="s">
        <v>2128</v>
      </c>
      <c r="C564" s="10" t="s">
        <v>2128</v>
      </c>
      <c r="D564" s="10" t="s">
        <v>2128</v>
      </c>
      <c r="E564" s="10" t="s">
        <v>549</v>
      </c>
      <c r="F564" s="10" t="s">
        <v>1706</v>
      </c>
      <c r="G564" s="10"/>
      <c r="H564" s="10" t="s">
        <v>2129</v>
      </c>
      <c r="I564" s="10"/>
      <c r="J564" s="10"/>
      <c r="K564" s="10" t="s">
        <v>2130</v>
      </c>
      <c r="L564" s="10"/>
      <c r="M564" s="10" t="s">
        <v>2103</v>
      </c>
      <c r="N564" s="10" t="s">
        <v>2131</v>
      </c>
    </row>
    <row r="565" spans="1:14">
      <c r="A565" s="10" t="s">
        <v>2132</v>
      </c>
      <c r="B565" s="10" t="s">
        <v>2132</v>
      </c>
      <c r="C565" s="10" t="s">
        <v>2132</v>
      </c>
      <c r="D565" s="10" t="s">
        <v>2132</v>
      </c>
      <c r="E565" s="10" t="s">
        <v>549</v>
      </c>
      <c r="F565" s="10" t="s">
        <v>1706</v>
      </c>
      <c r="G565" s="10"/>
      <c r="H565" s="10" t="s">
        <v>2133</v>
      </c>
      <c r="I565" s="10"/>
      <c r="J565" s="10"/>
      <c r="K565" s="10" t="s">
        <v>2134</v>
      </c>
      <c r="L565" s="10"/>
      <c r="M565" s="10" t="s">
        <v>2103</v>
      </c>
      <c r="N565" s="10" t="s">
        <v>2135</v>
      </c>
    </row>
    <row r="566" spans="1:14">
      <c r="A566" s="10" t="s">
        <v>2136</v>
      </c>
      <c r="B566" s="10" t="s">
        <v>2136</v>
      </c>
      <c r="C566" s="10" t="s">
        <v>2136</v>
      </c>
      <c r="D566" s="10" t="s">
        <v>2136</v>
      </c>
      <c r="E566" s="10" t="s">
        <v>549</v>
      </c>
      <c r="F566" s="10" t="s">
        <v>1706</v>
      </c>
      <c r="G566" s="10"/>
      <c r="H566" s="10" t="s">
        <v>2137</v>
      </c>
      <c r="I566" s="10" t="s">
        <v>2138</v>
      </c>
      <c r="J566" s="10"/>
      <c r="K566" s="10" t="s">
        <v>2139</v>
      </c>
      <c r="L566" s="10"/>
      <c r="M566" s="10" t="s">
        <v>2103</v>
      </c>
      <c r="N566" s="10" t="s">
        <v>2140</v>
      </c>
    </row>
    <row r="567" spans="1:14">
      <c r="A567" s="10" t="s">
        <v>2141</v>
      </c>
      <c r="B567" s="10" t="s">
        <v>2141</v>
      </c>
      <c r="C567" s="10" t="s">
        <v>2141</v>
      </c>
      <c r="D567" s="10" t="s">
        <v>2141</v>
      </c>
      <c r="E567" s="10" t="s">
        <v>549</v>
      </c>
      <c r="F567" s="10" t="s">
        <v>1706</v>
      </c>
      <c r="G567" s="10"/>
      <c r="H567" s="10" t="s">
        <v>2142</v>
      </c>
      <c r="I567" s="10" t="s">
        <v>2143</v>
      </c>
      <c r="J567" s="10"/>
      <c r="K567" s="10" t="s">
        <v>2144</v>
      </c>
      <c r="L567" s="10"/>
      <c r="M567" s="10" t="s">
        <v>2103</v>
      </c>
      <c r="N567" s="10" t="s">
        <v>2145</v>
      </c>
    </row>
    <row r="570" ht="27" customHeight="1" spans="1:14">
      <c r="A570" s="6" t="s">
        <v>2146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8"/>
    </row>
    <row r="571" spans="1:14">
      <c r="A571" t="s">
        <v>2147</v>
      </c>
      <c r="B571" t="s">
        <v>2147</v>
      </c>
      <c r="C571" t="s">
        <v>2147</v>
      </c>
      <c r="D571" t="s">
        <v>2147</v>
      </c>
      <c r="H571" t="s">
        <v>2148</v>
      </c>
      <c r="K571" t="s">
        <v>2149</v>
      </c>
      <c r="L571" t="s">
        <v>2150</v>
      </c>
      <c r="M571" t="s">
        <v>2151</v>
      </c>
      <c r="N571" s="5" t="s">
        <v>2152</v>
      </c>
    </row>
    <row r="572" spans="1:14">
      <c r="A572" t="s">
        <v>2153</v>
      </c>
      <c r="B572" t="s">
        <v>2153</v>
      </c>
      <c r="C572" t="s">
        <v>2153</v>
      </c>
      <c r="D572" t="s">
        <v>2153</v>
      </c>
      <c r="H572" t="s">
        <v>2154</v>
      </c>
      <c r="K572" t="s">
        <v>2155</v>
      </c>
      <c r="L572" t="s">
        <v>2156</v>
      </c>
      <c r="M572" t="s">
        <v>2151</v>
      </c>
      <c r="N572" s="5" t="s">
        <v>2156</v>
      </c>
    </row>
    <row r="573" spans="1:14">
      <c r="A573" t="s">
        <v>2157</v>
      </c>
      <c r="B573" t="s">
        <v>2157</v>
      </c>
      <c r="C573" t="s">
        <v>2157</v>
      </c>
      <c r="D573" t="s">
        <v>2157</v>
      </c>
      <c r="H573" t="s">
        <v>2158</v>
      </c>
      <c r="K573" t="s">
        <v>2159</v>
      </c>
      <c r="L573" t="s">
        <v>2160</v>
      </c>
      <c r="M573" t="s">
        <v>2151</v>
      </c>
      <c r="N573" s="5" t="s">
        <v>2161</v>
      </c>
    </row>
    <row r="574" spans="1:14">
      <c r="A574" t="s">
        <v>2162</v>
      </c>
      <c r="B574" t="s">
        <v>2162</v>
      </c>
      <c r="C574" t="s">
        <v>2162</v>
      </c>
      <c r="D574" t="s">
        <v>2162</v>
      </c>
      <c r="H574" t="s">
        <v>2163</v>
      </c>
      <c r="K574" t="s">
        <v>2164</v>
      </c>
      <c r="L574" t="s">
        <v>290</v>
      </c>
      <c r="M574" t="s">
        <v>2151</v>
      </c>
      <c r="N574" s="5" t="s">
        <v>2165</v>
      </c>
    </row>
    <row r="575" spans="1:14">
      <c r="A575" t="s">
        <v>2166</v>
      </c>
      <c r="B575" t="s">
        <v>2166</v>
      </c>
      <c r="C575" t="s">
        <v>2166</v>
      </c>
      <c r="D575" t="s">
        <v>2166</v>
      </c>
      <c r="H575" t="s">
        <v>2167</v>
      </c>
      <c r="K575" t="s">
        <v>2168</v>
      </c>
      <c r="L575" t="s">
        <v>2169</v>
      </c>
      <c r="M575" t="s">
        <v>2151</v>
      </c>
      <c r="N575" s="5" t="s">
        <v>2170</v>
      </c>
    </row>
    <row r="576" spans="1:14">
      <c r="A576" t="s">
        <v>2171</v>
      </c>
      <c r="B576" t="s">
        <v>2171</v>
      </c>
      <c r="C576" t="s">
        <v>2171</v>
      </c>
      <c r="D576" t="s">
        <v>2171</v>
      </c>
      <c r="H576" t="s">
        <v>2172</v>
      </c>
      <c r="K576" t="s">
        <v>2173</v>
      </c>
      <c r="L576" t="s">
        <v>2169</v>
      </c>
      <c r="M576" t="s">
        <v>2151</v>
      </c>
      <c r="N576" s="5" t="s">
        <v>2174</v>
      </c>
    </row>
    <row r="577" spans="1:14">
      <c r="A577" t="s">
        <v>2175</v>
      </c>
      <c r="B577" t="s">
        <v>2175</v>
      </c>
      <c r="C577" t="s">
        <v>2175</v>
      </c>
      <c r="D577" t="s">
        <v>2175</v>
      </c>
      <c r="E577" t="s">
        <v>2175</v>
      </c>
      <c r="H577" t="s">
        <v>2176</v>
      </c>
      <c r="K577" t="s">
        <v>2177</v>
      </c>
      <c r="L577" t="s">
        <v>2160</v>
      </c>
      <c r="M577" t="s">
        <v>2151</v>
      </c>
      <c r="N577" s="5" t="s">
        <v>2178</v>
      </c>
    </row>
    <row r="578" spans="1:14">
      <c r="A578" t="s">
        <v>2179</v>
      </c>
      <c r="B578" t="s">
        <v>2179</v>
      </c>
      <c r="C578" t="s">
        <v>2179</v>
      </c>
      <c r="D578" t="s">
        <v>2179</v>
      </c>
      <c r="H578" t="s">
        <v>2180</v>
      </c>
      <c r="K578" t="s">
        <v>2181</v>
      </c>
      <c r="L578" t="s">
        <v>2169</v>
      </c>
      <c r="M578" t="s">
        <v>2151</v>
      </c>
      <c r="N578" s="5">
        <v>3977</v>
      </c>
    </row>
    <row r="579" spans="1:14">
      <c r="A579" t="s">
        <v>2182</v>
      </c>
      <c r="B579" t="s">
        <v>2182</v>
      </c>
      <c r="C579" t="s">
        <v>2182</v>
      </c>
      <c r="D579" t="s">
        <v>2182</v>
      </c>
      <c r="H579" t="s">
        <v>2183</v>
      </c>
      <c r="K579" t="s">
        <v>2184</v>
      </c>
      <c r="L579" t="s">
        <v>2160</v>
      </c>
      <c r="M579" t="s">
        <v>2151</v>
      </c>
      <c r="N579" s="5">
        <v>2178</v>
      </c>
    </row>
    <row r="582" spans="1:14">
      <c r="A582" t="s">
        <v>2185</v>
      </c>
      <c r="B582" t="s">
        <v>2185</v>
      </c>
      <c r="C582" t="s">
        <v>2185</v>
      </c>
      <c r="D582" t="s">
        <v>2185</v>
      </c>
      <c r="H582" t="s">
        <v>2186</v>
      </c>
      <c r="K582" t="s">
        <v>2187</v>
      </c>
      <c r="M582" t="s">
        <v>2188</v>
      </c>
      <c r="N582" s="5" t="s">
        <v>2189</v>
      </c>
    </row>
  </sheetData>
  <mergeCells count="8">
    <mergeCell ref="A1:N1"/>
    <mergeCell ref="A405:N405"/>
    <mergeCell ref="A448:N448"/>
    <mergeCell ref="A467:N467"/>
    <mergeCell ref="A487:N487"/>
    <mergeCell ref="A514:N514"/>
    <mergeCell ref="A556:N556"/>
    <mergeCell ref="A570:N57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zoomScale="115" zoomScaleNormal="115" workbookViewId="0">
      <selection activeCell="M15" sqref="M15"/>
    </sheetView>
  </sheetViews>
  <sheetFormatPr defaultColWidth="9" defaultRowHeight="13.85" outlineLevelCol="4"/>
  <cols>
    <col min="1" max="1" width="19.8938053097345" customWidth="1"/>
    <col min="2" max="2" width="17.0530973451327" customWidth="1"/>
    <col min="3" max="3" width="12.8761061946903" customWidth="1"/>
    <col min="4" max="4" width="13.6902654867257" customWidth="1"/>
  </cols>
  <sheetData>
    <row r="1" ht="33.75" spans="1:5">
      <c r="B1" s="1" t="s">
        <v>2190</v>
      </c>
      <c r="C1" s="1" t="s">
        <v>170</v>
      </c>
      <c r="D1" s="1" t="s">
        <v>2191</v>
      </c>
      <c r="E1" s="2" t="s">
        <v>2192</v>
      </c>
    </row>
    <row r="2" ht="15.75" spans="1:5">
      <c r="A2" t="str">
        <f>B2&amp;C2</f>
        <v>丰速达16T卡派ONT8</v>
      </c>
      <c r="B2" s="3" t="s">
        <v>62</v>
      </c>
      <c r="C2" s="3" t="s">
        <v>395</v>
      </c>
      <c r="D2" s="3">
        <v>16</v>
      </c>
      <c r="E2" s="4" t="s">
        <v>2193</v>
      </c>
    </row>
    <row r="3" ht="15.75" spans="1:5">
      <c r="A3" t="str">
        <f t="shared" ref="A3:A34" si="0">B3&amp;C3</f>
        <v>丰速达16T卡派LGB8</v>
      </c>
      <c r="B3" s="3" t="s">
        <v>62</v>
      </c>
      <c r="C3" s="3" t="s">
        <v>419</v>
      </c>
      <c r="D3" s="3">
        <v>16</v>
      </c>
      <c r="E3" s="4" t="s">
        <v>2193</v>
      </c>
    </row>
    <row r="4" ht="15.75" spans="1:5">
      <c r="A4" t="str">
        <f t="shared" si="0"/>
        <v>丰速达16T卡派LAX9</v>
      </c>
      <c r="B4" s="3" t="s">
        <v>62</v>
      </c>
      <c r="C4" s="3" t="s">
        <v>433</v>
      </c>
      <c r="D4" s="3">
        <v>16</v>
      </c>
      <c r="E4" s="4" t="s">
        <v>2193</v>
      </c>
    </row>
    <row r="5" ht="15.75" spans="1:5">
      <c r="A5" t="str">
        <f t="shared" si="0"/>
        <v>丰速达16T卡派SBD1</v>
      </c>
      <c r="B5" s="3" t="s">
        <v>62</v>
      </c>
      <c r="C5" s="3" t="s">
        <v>440</v>
      </c>
      <c r="D5" s="3">
        <v>16</v>
      </c>
      <c r="E5" s="4" t="s">
        <v>2193</v>
      </c>
    </row>
    <row r="6" ht="15.75" spans="1:5">
      <c r="A6" t="str">
        <f t="shared" si="0"/>
        <v>丰速达16T卡派POC1</v>
      </c>
      <c r="B6" s="3" t="s">
        <v>62</v>
      </c>
      <c r="C6" s="3" t="s">
        <v>1407</v>
      </c>
      <c r="D6" s="3">
        <v>16</v>
      </c>
      <c r="E6" s="4" t="s">
        <v>2193</v>
      </c>
    </row>
    <row r="7" ht="15.75" spans="1:5">
      <c r="A7" t="str">
        <f t="shared" si="0"/>
        <v>丰速达16T卡派POC2</v>
      </c>
      <c r="B7" s="3" t="s">
        <v>62</v>
      </c>
      <c r="C7" s="3" t="s">
        <v>1456</v>
      </c>
      <c r="D7" s="3">
        <v>16</v>
      </c>
      <c r="E7" s="4" t="s">
        <v>2193</v>
      </c>
    </row>
    <row r="8" ht="15.75" spans="1:5">
      <c r="A8" t="str">
        <f t="shared" si="0"/>
        <v>丰速达16T卡派POC3</v>
      </c>
      <c r="B8" s="3" t="s">
        <v>62</v>
      </c>
      <c r="C8" s="3" t="s">
        <v>1410</v>
      </c>
      <c r="D8" s="3">
        <v>16</v>
      </c>
      <c r="E8" s="4" t="s">
        <v>2193</v>
      </c>
    </row>
    <row r="9" ht="15.75" spans="1:5">
      <c r="A9" t="str">
        <f t="shared" si="0"/>
        <v>丰速达16T卡派IUSP</v>
      </c>
      <c r="B9" s="3" t="s">
        <v>62</v>
      </c>
      <c r="C9" s="3" t="s">
        <v>1393</v>
      </c>
      <c r="D9" s="3">
        <v>16</v>
      </c>
      <c r="E9" s="4" t="s">
        <v>2194</v>
      </c>
    </row>
    <row r="10" ht="15.75" spans="1:5">
      <c r="A10" t="str">
        <f t="shared" si="0"/>
        <v>丰速达16T卡派IUSQ</v>
      </c>
      <c r="B10" s="3" t="s">
        <v>62</v>
      </c>
      <c r="C10" s="3" t="s">
        <v>1361</v>
      </c>
      <c r="D10" s="3">
        <v>16</v>
      </c>
      <c r="E10" s="4" t="s">
        <v>2194</v>
      </c>
    </row>
    <row r="11" ht="15.75" spans="1:5">
      <c r="A11" t="str">
        <f t="shared" si="0"/>
        <v>丰速达16T卡派IUSJ</v>
      </c>
      <c r="B11" s="3" t="s">
        <v>62</v>
      </c>
      <c r="C11" s="3" t="s">
        <v>1264</v>
      </c>
      <c r="D11" s="3">
        <v>16</v>
      </c>
      <c r="E11" s="4" t="s">
        <v>2194</v>
      </c>
    </row>
    <row r="12" ht="15.75" spans="1:5">
      <c r="A12" t="str">
        <f t="shared" si="0"/>
        <v>丰速达16T卡派IUTI</v>
      </c>
      <c r="B12" s="3" t="s">
        <v>62</v>
      </c>
      <c r="C12" s="3" t="s">
        <v>1466</v>
      </c>
      <c r="D12" s="3">
        <v>16</v>
      </c>
      <c r="E12" s="4" t="s">
        <v>2194</v>
      </c>
    </row>
    <row r="13" ht="15.75" spans="1:5">
      <c r="A13" t="str">
        <f t="shared" si="0"/>
        <v>丰速达16T卡派IUSW</v>
      </c>
      <c r="B13" s="3" t="s">
        <v>62</v>
      </c>
      <c r="C13" s="3" t="s">
        <v>1468</v>
      </c>
      <c r="D13" s="3">
        <v>16</v>
      </c>
      <c r="E13" s="4" t="s">
        <v>2194</v>
      </c>
    </row>
    <row r="14" ht="15.75" spans="1:5">
      <c r="A14" t="str">
        <f t="shared" si="0"/>
        <v>丰速达16T卡派SNA4</v>
      </c>
      <c r="B14" s="3" t="s">
        <v>62</v>
      </c>
      <c r="C14" s="3" t="s">
        <v>415</v>
      </c>
      <c r="D14" s="3">
        <v>16</v>
      </c>
      <c r="E14" s="4" t="s">
        <v>2194</v>
      </c>
    </row>
    <row r="15" ht="15.75" spans="1:5">
      <c r="A15" t="str">
        <f t="shared" si="0"/>
        <v>丰速达16T卡派SBD2</v>
      </c>
      <c r="B15" s="3" t="s">
        <v>62</v>
      </c>
      <c r="C15" s="3" t="s">
        <v>405</v>
      </c>
      <c r="D15" s="3">
        <v>16</v>
      </c>
      <c r="E15" s="4" t="s">
        <v>2194</v>
      </c>
    </row>
    <row r="16" ht="15.75" spans="1:5">
      <c r="A16" t="str">
        <f t="shared" si="0"/>
        <v>丰速达16T卡派LGB4</v>
      </c>
      <c r="B16" s="3" t="s">
        <v>62</v>
      </c>
      <c r="C16" s="3" t="s">
        <v>431</v>
      </c>
      <c r="D16" s="3">
        <v>16</v>
      </c>
      <c r="E16" s="4" t="s">
        <v>2194</v>
      </c>
    </row>
    <row r="17" ht="15.75" spans="1:5">
      <c r="A17" t="str">
        <f t="shared" si="0"/>
        <v>丰速达16T卡派LGB6</v>
      </c>
      <c r="B17" s="3" t="s">
        <v>62</v>
      </c>
      <c r="C17" s="3" t="s">
        <v>397</v>
      </c>
      <c r="D17" s="3">
        <v>16</v>
      </c>
      <c r="E17" s="4" t="s">
        <v>2194</v>
      </c>
    </row>
    <row r="18" ht="15.75" spans="1:5">
      <c r="A18" t="str">
        <f t="shared" si="0"/>
        <v>丰速达16T卡派LGB9</v>
      </c>
      <c r="B18" s="3" t="s">
        <v>62</v>
      </c>
      <c r="C18" s="3" t="s">
        <v>388</v>
      </c>
      <c r="D18" s="3">
        <v>16</v>
      </c>
      <c r="E18" s="4" t="s">
        <v>2194</v>
      </c>
    </row>
    <row r="19" ht="15.75" spans="1:5">
      <c r="A19" t="str">
        <f t="shared" si="0"/>
        <v>丰速达16T卡派XLX7</v>
      </c>
      <c r="B19" s="3" t="s">
        <v>62</v>
      </c>
      <c r="C19" s="3" t="s">
        <v>2195</v>
      </c>
      <c r="D19" s="3">
        <v>16</v>
      </c>
      <c r="E19" s="4" t="s">
        <v>2194</v>
      </c>
    </row>
    <row r="20" ht="15.75" spans="1:5">
      <c r="A20" t="str">
        <f t="shared" si="0"/>
        <v>丰速达16T卡派GYR2</v>
      </c>
      <c r="B20" s="3" t="s">
        <v>62</v>
      </c>
      <c r="C20" s="3" t="s">
        <v>499</v>
      </c>
      <c r="D20" s="3">
        <v>16</v>
      </c>
      <c r="E20" s="4" t="s">
        <v>2196</v>
      </c>
    </row>
    <row r="21" ht="15.75" spans="1:5">
      <c r="A21" t="str">
        <f t="shared" si="0"/>
        <v>丰速达16T卡派GYR3</v>
      </c>
      <c r="B21" s="3" t="s">
        <v>62</v>
      </c>
      <c r="C21" s="3" t="s">
        <v>513</v>
      </c>
      <c r="D21" s="3">
        <v>16</v>
      </c>
      <c r="E21" s="4" t="s">
        <v>2196</v>
      </c>
    </row>
    <row r="22" ht="15.75" spans="1:5">
      <c r="A22" t="str">
        <f t="shared" si="0"/>
        <v>丰速达16T卡派TCY1</v>
      </c>
      <c r="B22" s="3" t="s">
        <v>62</v>
      </c>
      <c r="C22" s="3" t="s">
        <v>1445</v>
      </c>
      <c r="D22" s="3">
        <v>16</v>
      </c>
      <c r="E22" s="4" t="s">
        <v>2196</v>
      </c>
    </row>
    <row r="23" ht="15.75" spans="1:5">
      <c r="A23" t="str">
        <f t="shared" si="0"/>
        <v>丰速达16T卡派TCY2</v>
      </c>
      <c r="B23" s="3" t="s">
        <v>62</v>
      </c>
      <c r="C23" s="3" t="s">
        <v>1443</v>
      </c>
      <c r="D23" s="3">
        <v>16</v>
      </c>
      <c r="E23" s="4" t="s">
        <v>2196</v>
      </c>
    </row>
    <row r="24" ht="15.75" spans="1:5">
      <c r="A24" t="str">
        <f t="shared" si="0"/>
        <v>丰速达16T卡派HLI2</v>
      </c>
      <c r="B24" s="3" t="s">
        <v>62</v>
      </c>
      <c r="C24" s="3" t="s">
        <v>1439</v>
      </c>
      <c r="D24" s="3">
        <v>16</v>
      </c>
      <c r="E24" s="4" t="s">
        <v>2196</v>
      </c>
    </row>
    <row r="25" ht="15.75" spans="1:5">
      <c r="A25" t="str">
        <f t="shared" si="0"/>
        <v>丰速达16T卡派MIT2</v>
      </c>
      <c r="B25" s="3" t="s">
        <v>62</v>
      </c>
      <c r="C25" s="3" t="s">
        <v>1350</v>
      </c>
      <c r="D25" s="3">
        <v>16</v>
      </c>
      <c r="E25" s="4" t="s">
        <v>2196</v>
      </c>
    </row>
    <row r="26" ht="15.75" spans="1:5">
      <c r="A26" t="str">
        <f t="shared" si="0"/>
        <v>丰速达16T卡派GEU2</v>
      </c>
      <c r="B26" s="3" t="s">
        <v>62</v>
      </c>
      <c r="C26" s="3" t="s">
        <v>1366</v>
      </c>
      <c r="D26" s="3">
        <v>16</v>
      </c>
      <c r="E26" s="4" t="s">
        <v>2196</v>
      </c>
    </row>
    <row r="27" ht="15.75" spans="1:5">
      <c r="A27" t="str">
        <f t="shared" si="0"/>
        <v>丰速达16T卡派GEU3</v>
      </c>
      <c r="B27" s="3" t="s">
        <v>62</v>
      </c>
      <c r="C27" s="3" t="s">
        <v>1353</v>
      </c>
      <c r="D27" s="3">
        <v>16</v>
      </c>
      <c r="E27" s="4" t="s">
        <v>2196</v>
      </c>
    </row>
    <row r="28" ht="15.75" spans="1:5">
      <c r="A28" t="str">
        <f t="shared" si="0"/>
        <v>丰速达16T卡派GEU5</v>
      </c>
      <c r="B28" s="3" t="s">
        <v>62</v>
      </c>
      <c r="C28" s="3" t="s">
        <v>1364</v>
      </c>
      <c r="D28" s="3">
        <v>16</v>
      </c>
      <c r="E28" s="4" t="s">
        <v>2196</v>
      </c>
    </row>
    <row r="29" ht="15.75" spans="1:5">
      <c r="A29" t="str">
        <f t="shared" si="0"/>
        <v>丰速达16T卡派LAS1</v>
      </c>
      <c r="B29" s="3" t="s">
        <v>62</v>
      </c>
      <c r="C29" s="3" t="s">
        <v>485</v>
      </c>
      <c r="D29" s="3">
        <v>16</v>
      </c>
      <c r="E29" s="4" t="s">
        <v>2196</v>
      </c>
    </row>
    <row r="30" ht="15.75" spans="1:5">
      <c r="A30" t="str">
        <f t="shared" si="0"/>
        <v>丰速达16T卡派VGT2</v>
      </c>
      <c r="B30" s="3" t="s">
        <v>62</v>
      </c>
      <c r="C30" s="3" t="s">
        <v>1242</v>
      </c>
      <c r="D30" s="3">
        <v>16</v>
      </c>
      <c r="E30" s="4" t="s">
        <v>2196</v>
      </c>
    </row>
    <row r="31" ht="15.75" spans="1:5">
      <c r="A31" t="str">
        <f t="shared" si="0"/>
        <v>丰速达16T卡派SMF3</v>
      </c>
      <c r="B31" s="3" t="s">
        <v>62</v>
      </c>
      <c r="C31" s="3" t="s">
        <v>362</v>
      </c>
      <c r="D31" s="3">
        <v>16</v>
      </c>
      <c r="E31" s="4" t="s">
        <v>2196</v>
      </c>
    </row>
    <row r="32" ht="15.75" spans="1:5">
      <c r="A32" t="str">
        <f t="shared" si="0"/>
        <v>丰速达16T卡派SCK4</v>
      </c>
      <c r="B32" s="3" t="s">
        <v>62</v>
      </c>
      <c r="C32" s="3" t="s">
        <v>360</v>
      </c>
      <c r="D32" s="3">
        <v>16</v>
      </c>
      <c r="E32" s="4" t="s">
        <v>2196</v>
      </c>
    </row>
    <row r="33" ht="15.75" spans="1:5">
      <c r="A33" t="str">
        <f t="shared" si="0"/>
        <v>丰速达16T卡派IUTE</v>
      </c>
      <c r="B33" s="3" t="s">
        <v>62</v>
      </c>
      <c r="C33" s="3" t="s">
        <v>1471</v>
      </c>
      <c r="D33" s="3">
        <v>16</v>
      </c>
      <c r="E33" s="4" t="s">
        <v>2196</v>
      </c>
    </row>
    <row r="34" ht="15.75" spans="1:5">
      <c r="A34" t="str">
        <f t="shared" si="0"/>
        <v>丰速达16T卡派QXY8</v>
      </c>
      <c r="B34" s="3" t="s">
        <v>62</v>
      </c>
      <c r="C34" s="3" t="s">
        <v>1555</v>
      </c>
      <c r="D34" s="3">
        <v>16</v>
      </c>
      <c r="E34" s="4" t="s">
        <v>2196</v>
      </c>
    </row>
    <row r="35" ht="15.75" spans="1:5">
      <c r="A35" t="str">
        <f t="shared" ref="A35:A73" si="1">B35&amp;C35</f>
        <v>丰速达16T卡派SCK8</v>
      </c>
      <c r="B35" s="3" t="s">
        <v>62</v>
      </c>
      <c r="C35" s="3" t="s">
        <v>1270</v>
      </c>
      <c r="D35" s="3">
        <v>16</v>
      </c>
      <c r="E35" s="4" t="s">
        <v>2197</v>
      </c>
    </row>
    <row r="36" ht="15.75" spans="1:5">
      <c r="A36" t="str">
        <f t="shared" si="1"/>
        <v>丰速达16T卡派FAT2</v>
      </c>
      <c r="B36" s="3" t="s">
        <v>62</v>
      </c>
      <c r="C36" s="3" t="s">
        <v>380</v>
      </c>
      <c r="D36" s="3">
        <v>16</v>
      </c>
      <c r="E36" s="4" t="s">
        <v>2197</v>
      </c>
    </row>
    <row r="37" ht="15.75" spans="1:5">
      <c r="A37" t="str">
        <f t="shared" si="1"/>
        <v>丰速达16T卡派LAS6</v>
      </c>
      <c r="B37" s="3" t="s">
        <v>62</v>
      </c>
      <c r="C37" s="3" t="s">
        <v>474</v>
      </c>
      <c r="D37" s="3">
        <v>16</v>
      </c>
      <c r="E37" s="4" t="s">
        <v>2197</v>
      </c>
    </row>
    <row r="38" ht="15.75" spans="1:5">
      <c r="A38" t="str">
        <f t="shared" si="1"/>
        <v>丰速达16T卡派MCE1</v>
      </c>
      <c r="B38" s="3" t="s">
        <v>62</v>
      </c>
      <c r="C38" s="3" t="s">
        <v>1238</v>
      </c>
      <c r="D38" s="3">
        <v>16</v>
      </c>
      <c r="E38" s="4" t="s">
        <v>2197</v>
      </c>
    </row>
    <row r="39" ht="15.75" spans="1:5">
      <c r="A39" t="str">
        <f t="shared" si="1"/>
        <v>丰速达16T卡派PHX5</v>
      </c>
      <c r="B39" s="3" t="s">
        <v>62</v>
      </c>
      <c r="C39" s="3" t="s">
        <v>506</v>
      </c>
      <c r="D39" s="3">
        <v>16</v>
      </c>
      <c r="E39" s="4" t="s">
        <v>2197</v>
      </c>
    </row>
    <row r="40" ht="15.75" spans="1:5">
      <c r="A40" t="str">
        <f t="shared" si="1"/>
        <v>丰速达16T卡派PHX7</v>
      </c>
      <c r="B40" s="3" t="s">
        <v>62</v>
      </c>
      <c r="C40" s="3" t="s">
        <v>522</v>
      </c>
      <c r="D40" s="3">
        <v>16</v>
      </c>
      <c r="E40" s="4" t="s">
        <v>2197</v>
      </c>
    </row>
    <row r="41" ht="15.75" spans="1:5">
      <c r="A41" t="str">
        <f t="shared" si="1"/>
        <v>丰速达16T卡派SMF6</v>
      </c>
      <c r="B41" s="3" t="s">
        <v>62</v>
      </c>
      <c r="C41" s="3" t="s">
        <v>329</v>
      </c>
      <c r="D41" s="3">
        <v>16</v>
      </c>
      <c r="E41" s="4" t="s">
        <v>2197</v>
      </c>
    </row>
    <row r="42" ht="15.75" spans="1:5">
      <c r="A42" t="str">
        <f t="shared" si="1"/>
        <v>丰速达16T卡派OAK3</v>
      </c>
      <c r="B42" s="3" t="s">
        <v>62</v>
      </c>
      <c r="C42" s="3" t="s">
        <v>345</v>
      </c>
      <c r="D42" s="3">
        <v>16</v>
      </c>
      <c r="E42" s="4" t="s">
        <v>2197</v>
      </c>
    </row>
    <row r="43" ht="15.75" spans="1:5">
      <c r="A43" t="str">
        <f t="shared" si="1"/>
        <v>丰速达16T卡派SLC2</v>
      </c>
      <c r="B43" s="3" t="s">
        <v>62</v>
      </c>
      <c r="C43" s="3" t="s">
        <v>532</v>
      </c>
      <c r="D43" s="3">
        <v>18</v>
      </c>
      <c r="E43" s="4" t="s">
        <v>2198</v>
      </c>
    </row>
    <row r="44" ht="15.75" spans="1:5">
      <c r="A44" t="str">
        <f t="shared" si="1"/>
        <v>丰速达16T卡派ABQ2</v>
      </c>
      <c r="B44" s="3" t="s">
        <v>62</v>
      </c>
      <c r="C44" s="3" t="s">
        <v>1313</v>
      </c>
      <c r="D44" s="3">
        <v>18</v>
      </c>
      <c r="E44" s="4" t="s">
        <v>2198</v>
      </c>
    </row>
    <row r="45" ht="15.75" spans="1:5">
      <c r="A45" t="str">
        <f t="shared" si="1"/>
        <v>丰速达16T卡派FTW1</v>
      </c>
      <c r="B45" s="3" t="s">
        <v>62</v>
      </c>
      <c r="C45" s="3" t="s">
        <v>614</v>
      </c>
      <c r="D45" s="3">
        <v>18</v>
      </c>
      <c r="E45" s="4" t="s">
        <v>2199</v>
      </c>
    </row>
    <row r="46" ht="15.75" spans="1:5">
      <c r="A46" t="str">
        <f t="shared" si="1"/>
        <v>丰速达16T卡派DFW6</v>
      </c>
      <c r="B46" s="3" t="s">
        <v>62</v>
      </c>
      <c r="C46" s="3" t="s">
        <v>632</v>
      </c>
      <c r="D46" s="3">
        <v>18</v>
      </c>
      <c r="E46" s="4" t="s">
        <v>2199</v>
      </c>
    </row>
    <row r="47" ht="15.75" spans="1:5">
      <c r="A47" t="str">
        <f t="shared" si="1"/>
        <v>丰速达16T卡派IUSF</v>
      </c>
      <c r="B47" s="3" t="s">
        <v>62</v>
      </c>
      <c r="C47" s="3" t="s">
        <v>1370</v>
      </c>
      <c r="D47" s="3">
        <v>18</v>
      </c>
      <c r="E47" s="4" t="s">
        <v>2199</v>
      </c>
    </row>
    <row r="48" ht="15.75" spans="1:5">
      <c r="A48" t="str">
        <f t="shared" si="1"/>
        <v>丰速达16T卡派SAT1</v>
      </c>
      <c r="B48" s="3" t="s">
        <v>62</v>
      </c>
      <c r="C48" s="3" t="s">
        <v>564</v>
      </c>
      <c r="D48" s="3">
        <v>18</v>
      </c>
      <c r="E48" s="4" t="s">
        <v>2199</v>
      </c>
    </row>
    <row r="49" ht="15.75" spans="1:5">
      <c r="A49" t="str">
        <f t="shared" si="1"/>
        <v>丰速达16T卡派SAT4</v>
      </c>
      <c r="B49" s="3" t="s">
        <v>62</v>
      </c>
      <c r="C49" s="3" t="s">
        <v>560</v>
      </c>
      <c r="D49" s="3">
        <v>18</v>
      </c>
      <c r="E49" s="4" t="s">
        <v>2199</v>
      </c>
    </row>
    <row r="50" ht="15.75" spans="1:5">
      <c r="A50" t="str">
        <f t="shared" si="1"/>
        <v>丰速达16T卡派FTW5</v>
      </c>
      <c r="B50" s="3" t="s">
        <v>62</v>
      </c>
      <c r="C50" s="3" t="s">
        <v>625</v>
      </c>
      <c r="D50" s="3">
        <v>18</v>
      </c>
      <c r="E50" s="4" t="s">
        <v>2199</v>
      </c>
    </row>
    <row r="51" ht="15.75" spans="1:5">
      <c r="A51" t="str">
        <f t="shared" si="1"/>
        <v>丰速达16T卡派IAH3</v>
      </c>
      <c r="B51" s="3" t="s">
        <v>62</v>
      </c>
      <c r="C51" s="3" t="s">
        <v>1266</v>
      </c>
      <c r="D51" s="3">
        <v>18</v>
      </c>
      <c r="E51" s="4" t="s">
        <v>2199</v>
      </c>
    </row>
    <row r="52" ht="15.75" spans="1:5">
      <c r="A52" t="str">
        <f t="shared" si="1"/>
        <v>丰速达16T卡派HOU8</v>
      </c>
      <c r="B52" s="3" t="s">
        <v>62</v>
      </c>
      <c r="C52" s="3" t="s">
        <v>568</v>
      </c>
      <c r="D52" s="3">
        <v>18</v>
      </c>
      <c r="E52" s="4" t="s">
        <v>2199</v>
      </c>
    </row>
    <row r="53" ht="15.75" spans="1:5">
      <c r="A53" t="str">
        <f t="shared" si="1"/>
        <v>丰速达16T卡派AMA1</v>
      </c>
      <c r="B53" s="3" t="s">
        <v>62</v>
      </c>
      <c r="C53" s="3" t="s">
        <v>1252</v>
      </c>
      <c r="D53" s="3">
        <v>18</v>
      </c>
      <c r="E53" s="4" t="s">
        <v>2199</v>
      </c>
    </row>
    <row r="54" ht="15.75" spans="1:5">
      <c r="A54" t="str">
        <f t="shared" si="1"/>
        <v>丰速达16T卡派DEN2</v>
      </c>
      <c r="B54" s="3" t="s">
        <v>62</v>
      </c>
      <c r="C54" s="3" t="s">
        <v>541</v>
      </c>
      <c r="D54" s="3">
        <v>18</v>
      </c>
      <c r="E54" s="4" t="s">
        <v>2200</v>
      </c>
    </row>
    <row r="55" ht="15.75" spans="1:5">
      <c r="A55" t="str">
        <f t="shared" si="1"/>
        <v>丰速达16T卡派DEN8</v>
      </c>
      <c r="B55" s="3" t="s">
        <v>62</v>
      </c>
      <c r="C55" s="3" t="s">
        <v>548</v>
      </c>
      <c r="D55" s="3">
        <v>18</v>
      </c>
      <c r="E55" s="4" t="s">
        <v>2200</v>
      </c>
    </row>
    <row r="56" ht="15.75" spans="1:5">
      <c r="A56" t="str">
        <f t="shared" si="1"/>
        <v>丰速达16T卡派PSC2</v>
      </c>
      <c r="B56" s="3" t="s">
        <v>62</v>
      </c>
      <c r="C56" s="3" t="s">
        <v>1326</v>
      </c>
      <c r="D56" s="3">
        <v>18</v>
      </c>
      <c r="E56" s="4" t="s">
        <v>2200</v>
      </c>
    </row>
    <row r="57" ht="15.75" spans="1:5">
      <c r="A57" t="str">
        <f t="shared" si="1"/>
        <v>丰速达16T卡派BFI3</v>
      </c>
      <c r="B57" s="3" t="s">
        <v>62</v>
      </c>
      <c r="C57" s="3" t="s">
        <v>298</v>
      </c>
      <c r="D57" s="3">
        <v>18</v>
      </c>
      <c r="E57" s="4" t="s">
        <v>2200</v>
      </c>
    </row>
    <row r="58" ht="15.75" spans="1:5">
      <c r="A58" t="str">
        <f t="shared" si="1"/>
        <v>丰速达16T卡派GEG2</v>
      </c>
      <c r="B58" s="3" t="s">
        <v>62</v>
      </c>
      <c r="C58" s="3" t="s">
        <v>287</v>
      </c>
      <c r="D58" s="3">
        <v>18</v>
      </c>
      <c r="E58" s="4" t="s">
        <v>2200</v>
      </c>
    </row>
    <row r="59" ht="15.75" spans="1:5">
      <c r="A59" t="str">
        <f t="shared" si="1"/>
        <v>丰速达16T卡派IND9</v>
      </c>
      <c r="B59" s="3" t="s">
        <v>62</v>
      </c>
      <c r="C59" s="3" t="s">
        <v>803</v>
      </c>
      <c r="D59" s="3">
        <v>18</v>
      </c>
      <c r="E59" s="4" t="s">
        <v>2201</v>
      </c>
    </row>
    <row r="60" ht="15.75" spans="1:5">
      <c r="A60" t="str">
        <f t="shared" si="1"/>
        <v>丰速达16T卡派MQJ1</v>
      </c>
      <c r="B60" s="3" t="s">
        <v>62</v>
      </c>
      <c r="C60" s="3" t="s">
        <v>807</v>
      </c>
      <c r="D60" s="3">
        <v>18</v>
      </c>
      <c r="E60" s="4" t="s">
        <v>2201</v>
      </c>
    </row>
    <row r="61" ht="15.75" spans="1:5">
      <c r="A61" t="str">
        <f t="shared" si="1"/>
        <v>丰速达16T卡派MDW2</v>
      </c>
      <c r="B61" s="3" t="s">
        <v>62</v>
      </c>
      <c r="C61" s="3" t="s">
        <v>718</v>
      </c>
      <c r="D61" s="3">
        <v>18</v>
      </c>
      <c r="E61" s="4" t="s">
        <v>2201</v>
      </c>
    </row>
    <row r="62" ht="15.75" spans="1:5">
      <c r="A62" t="str">
        <f t="shared" si="1"/>
        <v>丰速达16T卡派FWA4</v>
      </c>
      <c r="B62" s="3" t="s">
        <v>62</v>
      </c>
      <c r="C62" s="3" t="s">
        <v>783</v>
      </c>
      <c r="D62" s="3">
        <v>18</v>
      </c>
      <c r="E62" s="4" t="s">
        <v>2201</v>
      </c>
    </row>
    <row r="63" ht="15.75" spans="1:5">
      <c r="A63" t="str">
        <f t="shared" si="1"/>
        <v>丰速达16T卡派MEM1</v>
      </c>
      <c r="B63" s="3" t="s">
        <v>62</v>
      </c>
      <c r="C63" s="3" t="s">
        <v>911</v>
      </c>
      <c r="D63" s="3">
        <v>18</v>
      </c>
      <c r="E63" s="4" t="s">
        <v>2201</v>
      </c>
    </row>
    <row r="64" ht="15.75" spans="1:5">
      <c r="A64" t="str">
        <f t="shared" si="1"/>
        <v>丰速达16T卡派RFD2</v>
      </c>
      <c r="B64" s="3" t="s">
        <v>62</v>
      </c>
      <c r="C64" s="3" t="s">
        <v>1379</v>
      </c>
      <c r="D64" s="3">
        <v>18</v>
      </c>
      <c r="E64" s="4" t="s">
        <v>2201</v>
      </c>
    </row>
    <row r="65" ht="15.75" spans="1:5">
      <c r="A65" t="str">
        <f t="shared" si="1"/>
        <v>丰速达16T卡派CLT2</v>
      </c>
      <c r="B65" s="3" t="s">
        <v>62</v>
      </c>
      <c r="C65" s="3" t="s">
        <v>1045</v>
      </c>
      <c r="D65" s="3">
        <v>19</v>
      </c>
      <c r="E65" s="4" t="s">
        <v>2202</v>
      </c>
    </row>
    <row r="66" ht="15.75" spans="1:5">
      <c r="A66" t="str">
        <f t="shared" si="1"/>
        <v>丰速达16T卡派RDU4</v>
      </c>
      <c r="B66" s="3" t="s">
        <v>62</v>
      </c>
      <c r="C66" s="3" t="s">
        <v>1297</v>
      </c>
      <c r="D66" s="3">
        <v>19</v>
      </c>
      <c r="E66" s="4" t="s">
        <v>2202</v>
      </c>
    </row>
    <row r="67" ht="15.75" spans="1:5">
      <c r="A67" t="str">
        <f t="shared" si="1"/>
        <v>丰速达16T卡派RDU2</v>
      </c>
      <c r="B67" s="3" t="s">
        <v>62</v>
      </c>
      <c r="C67" s="3" t="s">
        <v>1273</v>
      </c>
      <c r="D67" s="3">
        <v>19</v>
      </c>
      <c r="E67" s="4" t="s">
        <v>2202</v>
      </c>
    </row>
    <row r="68" ht="15.75" spans="1:5">
      <c r="A68" t="str">
        <f t="shared" si="1"/>
        <v>丰速达16T卡派LAN2</v>
      </c>
      <c r="B68" s="3" t="s">
        <v>62</v>
      </c>
      <c r="C68" s="3" t="s">
        <v>1305</v>
      </c>
      <c r="D68" s="3">
        <v>19</v>
      </c>
      <c r="E68" s="4" t="s">
        <v>2202</v>
      </c>
    </row>
    <row r="69" ht="15.75" spans="1:5">
      <c r="A69" t="str">
        <f t="shared" si="1"/>
        <v>丰速达16T卡派BNA6</v>
      </c>
      <c r="B69" s="3" t="s">
        <v>62</v>
      </c>
      <c r="C69" s="3" t="s">
        <v>1322</v>
      </c>
      <c r="D69" s="3">
        <v>19</v>
      </c>
      <c r="E69" s="4" t="s">
        <v>2202</v>
      </c>
    </row>
    <row r="70" ht="15.75" spans="1:5">
      <c r="A70" t="str">
        <f t="shared" si="1"/>
        <v>丰速达16T卡派AVP1</v>
      </c>
      <c r="B70" s="3" t="s">
        <v>62</v>
      </c>
      <c r="C70" s="3" t="s">
        <v>1153</v>
      </c>
      <c r="D70" s="3">
        <v>19</v>
      </c>
      <c r="E70" s="4" t="s">
        <v>2203</v>
      </c>
    </row>
    <row r="71" ht="15.75" spans="1:5">
      <c r="A71" t="str">
        <f t="shared" si="1"/>
        <v>丰速达16T卡派ORF2</v>
      </c>
      <c r="B71" s="3" t="s">
        <v>62</v>
      </c>
      <c r="C71" s="3" t="s">
        <v>1277</v>
      </c>
      <c r="D71" s="3">
        <v>19</v>
      </c>
      <c r="E71" s="4" t="s">
        <v>2203</v>
      </c>
    </row>
    <row r="72" ht="15.75" spans="1:5">
      <c r="A72" t="str">
        <f t="shared" si="1"/>
        <v>丰速达16T卡派SWF2</v>
      </c>
      <c r="B72" s="3" t="s">
        <v>62</v>
      </c>
      <c r="C72" s="3" t="s">
        <v>1260</v>
      </c>
      <c r="D72" s="3">
        <v>19</v>
      </c>
      <c r="E72" s="4" t="s">
        <v>2203</v>
      </c>
    </row>
    <row r="73" ht="15.75" spans="1:5">
      <c r="A73" t="str">
        <f t="shared" si="1"/>
        <v>丰速达16T卡派ABE8</v>
      </c>
      <c r="B73" s="3" t="s">
        <v>62</v>
      </c>
      <c r="C73" s="3" t="s">
        <v>208</v>
      </c>
      <c r="D73" s="3">
        <v>19</v>
      </c>
      <c r="E73" s="4" t="s">
        <v>2203</v>
      </c>
    </row>
    <row r="74" ht="15.75" spans="1:5">
      <c r="A74" t="str">
        <f t="shared" ref="A74:A139" si="2">B74&amp;C74</f>
        <v>丰速达16T卡派TEB9</v>
      </c>
      <c r="B74" s="3" t="s">
        <v>62</v>
      </c>
      <c r="C74" s="3" t="s">
        <v>182</v>
      </c>
      <c r="D74" s="3">
        <v>19</v>
      </c>
      <c r="E74" s="4" t="s">
        <v>2203</v>
      </c>
    </row>
    <row r="75" ht="15.75" spans="1:5">
      <c r="A75" t="str">
        <f t="shared" si="2"/>
        <v>丰速达16T卡派TPA3</v>
      </c>
      <c r="B75" s="3" t="s">
        <v>62</v>
      </c>
      <c r="C75" s="3" t="s">
        <v>953</v>
      </c>
      <c r="D75" s="3">
        <v>19</v>
      </c>
      <c r="E75" s="4" t="s">
        <v>2203</v>
      </c>
    </row>
    <row r="76" ht="15.75" spans="1:5">
      <c r="A76" t="str">
        <f t="shared" si="2"/>
        <v>丰速达16T卡派RMN3</v>
      </c>
      <c r="B76" s="3" t="s">
        <v>62</v>
      </c>
      <c r="C76" s="3" t="s">
        <v>1281</v>
      </c>
      <c r="D76" s="3">
        <v>19</v>
      </c>
      <c r="E76" s="4" t="s">
        <v>2203</v>
      </c>
    </row>
    <row r="78" ht="33.75" spans="1:5">
      <c r="B78" s="1" t="s">
        <v>2190</v>
      </c>
      <c r="C78" s="1" t="s">
        <v>170</v>
      </c>
      <c r="D78" s="1" t="s">
        <v>2191</v>
      </c>
      <c r="E78" s="2" t="s">
        <v>2192</v>
      </c>
    </row>
    <row r="79" ht="15.75" spans="1:5">
      <c r="A79" t="str">
        <f t="shared" si="2"/>
        <v>丰速达20T卡派ONT8</v>
      </c>
      <c r="B79" s="3" t="s">
        <v>69</v>
      </c>
      <c r="C79" s="3" t="s">
        <v>395</v>
      </c>
      <c r="D79" s="3">
        <v>18</v>
      </c>
      <c r="E79" s="4" t="s">
        <v>2193</v>
      </c>
    </row>
    <row r="80" ht="15.75" spans="1:5">
      <c r="A80" t="str">
        <f t="shared" si="2"/>
        <v>丰速达20T卡派LGB8</v>
      </c>
      <c r="B80" s="3" t="s">
        <v>69</v>
      </c>
      <c r="C80" s="3" t="s">
        <v>419</v>
      </c>
      <c r="D80" s="3">
        <v>18</v>
      </c>
      <c r="E80" s="4" t="s">
        <v>2193</v>
      </c>
    </row>
    <row r="81" ht="15.75" spans="1:5">
      <c r="A81" t="str">
        <f t="shared" si="2"/>
        <v>丰速达20T卡派LAX9</v>
      </c>
      <c r="B81" s="3" t="s">
        <v>69</v>
      </c>
      <c r="C81" s="3" t="s">
        <v>433</v>
      </c>
      <c r="D81" s="3">
        <v>18</v>
      </c>
      <c r="E81" s="4" t="s">
        <v>2193</v>
      </c>
    </row>
    <row r="82" ht="15.75" spans="1:5">
      <c r="A82" t="str">
        <f t="shared" si="2"/>
        <v>丰速达20T卡派SBD1</v>
      </c>
      <c r="B82" s="3" t="s">
        <v>69</v>
      </c>
      <c r="C82" s="3" t="s">
        <v>440</v>
      </c>
      <c r="D82" s="3">
        <v>18</v>
      </c>
      <c r="E82" s="4" t="s">
        <v>2193</v>
      </c>
    </row>
    <row r="83" ht="15.75" spans="1:5">
      <c r="A83" t="str">
        <f t="shared" si="2"/>
        <v>丰速达20T卡派POC1</v>
      </c>
      <c r="B83" s="3" t="s">
        <v>69</v>
      </c>
      <c r="C83" s="3" t="s">
        <v>1407</v>
      </c>
      <c r="D83" s="3">
        <v>18</v>
      </c>
      <c r="E83" s="4" t="s">
        <v>2193</v>
      </c>
    </row>
    <row r="84" ht="15.75" spans="1:5">
      <c r="A84" t="str">
        <f t="shared" si="2"/>
        <v>丰速达20T卡派POC2</v>
      </c>
      <c r="B84" s="3" t="s">
        <v>69</v>
      </c>
      <c r="C84" s="3" t="s">
        <v>1456</v>
      </c>
      <c r="D84" s="3">
        <v>18</v>
      </c>
      <c r="E84" s="4" t="s">
        <v>2193</v>
      </c>
    </row>
    <row r="85" ht="15.75" spans="1:5">
      <c r="A85" t="str">
        <f t="shared" si="2"/>
        <v>丰速达20T卡派POC3</v>
      </c>
      <c r="B85" s="3" t="s">
        <v>69</v>
      </c>
      <c r="C85" s="3" t="s">
        <v>1410</v>
      </c>
      <c r="D85" s="3">
        <v>18</v>
      </c>
      <c r="E85" s="4" t="s">
        <v>2193</v>
      </c>
    </row>
    <row r="86" ht="15.75" spans="1:5">
      <c r="A86" t="str">
        <f t="shared" si="2"/>
        <v>丰速达20T卡派IUSP</v>
      </c>
      <c r="B86" s="3" t="s">
        <v>69</v>
      </c>
      <c r="C86" s="3" t="s">
        <v>1393</v>
      </c>
      <c r="D86" s="3">
        <v>18</v>
      </c>
      <c r="E86" s="4" t="s">
        <v>2194</v>
      </c>
    </row>
    <row r="87" ht="15.75" spans="1:5">
      <c r="A87" t="str">
        <f t="shared" si="2"/>
        <v>丰速达20T卡派IUSQ</v>
      </c>
      <c r="B87" s="3" t="s">
        <v>69</v>
      </c>
      <c r="C87" s="3" t="s">
        <v>1361</v>
      </c>
      <c r="D87" s="3">
        <v>18</v>
      </c>
      <c r="E87" s="4" t="s">
        <v>2194</v>
      </c>
    </row>
    <row r="88" ht="15.75" spans="1:5">
      <c r="A88" t="str">
        <f t="shared" si="2"/>
        <v>丰速达20T卡派IUSJ</v>
      </c>
      <c r="B88" s="3" t="s">
        <v>69</v>
      </c>
      <c r="C88" s="3" t="s">
        <v>1264</v>
      </c>
      <c r="D88" s="3">
        <v>18</v>
      </c>
      <c r="E88" s="4" t="s">
        <v>2194</v>
      </c>
    </row>
    <row r="89" ht="15.75" spans="1:5">
      <c r="A89" t="str">
        <f t="shared" si="2"/>
        <v>丰速达20T卡派IUTI</v>
      </c>
      <c r="B89" s="3" t="s">
        <v>69</v>
      </c>
      <c r="C89" s="3" t="s">
        <v>1466</v>
      </c>
      <c r="D89" s="3">
        <v>18</v>
      </c>
      <c r="E89" s="4" t="s">
        <v>2194</v>
      </c>
    </row>
    <row r="90" ht="15.75" spans="1:5">
      <c r="A90" t="str">
        <f t="shared" si="2"/>
        <v>丰速达20T卡派IUSW</v>
      </c>
      <c r="B90" s="3" t="s">
        <v>69</v>
      </c>
      <c r="C90" s="3" t="s">
        <v>1468</v>
      </c>
      <c r="D90" s="3">
        <v>18</v>
      </c>
      <c r="E90" s="4" t="s">
        <v>2194</v>
      </c>
    </row>
    <row r="91" ht="15.75" spans="1:5">
      <c r="A91" t="str">
        <f t="shared" si="2"/>
        <v>丰速达20T卡派SNA4</v>
      </c>
      <c r="B91" s="3" t="s">
        <v>69</v>
      </c>
      <c r="C91" s="3" t="s">
        <v>415</v>
      </c>
      <c r="D91" s="3">
        <v>18</v>
      </c>
      <c r="E91" s="4" t="s">
        <v>2194</v>
      </c>
    </row>
    <row r="92" ht="15.75" spans="1:5">
      <c r="A92" t="str">
        <f t="shared" si="2"/>
        <v>丰速达20T卡派SBD2</v>
      </c>
      <c r="B92" s="3" t="s">
        <v>69</v>
      </c>
      <c r="C92" s="3" t="s">
        <v>405</v>
      </c>
      <c r="D92" s="3">
        <v>18</v>
      </c>
      <c r="E92" s="4" t="s">
        <v>2194</v>
      </c>
    </row>
    <row r="93" ht="15.75" spans="1:5">
      <c r="A93" t="str">
        <f t="shared" si="2"/>
        <v>丰速达20T卡派LGB4</v>
      </c>
      <c r="B93" s="3" t="s">
        <v>69</v>
      </c>
      <c r="C93" s="3" t="s">
        <v>431</v>
      </c>
      <c r="D93" s="3">
        <v>18</v>
      </c>
      <c r="E93" s="4" t="s">
        <v>2194</v>
      </c>
    </row>
    <row r="94" ht="15.75" spans="1:5">
      <c r="A94" t="str">
        <f t="shared" si="2"/>
        <v>丰速达20T卡派LGB6</v>
      </c>
      <c r="B94" s="3" t="s">
        <v>69</v>
      </c>
      <c r="C94" s="3" t="s">
        <v>397</v>
      </c>
      <c r="D94" s="3">
        <v>18</v>
      </c>
      <c r="E94" s="4" t="s">
        <v>2194</v>
      </c>
    </row>
    <row r="95" ht="15.75" spans="1:5">
      <c r="A95" t="str">
        <f t="shared" si="2"/>
        <v>丰速达20T卡派LGB9</v>
      </c>
      <c r="B95" s="3" t="s">
        <v>69</v>
      </c>
      <c r="C95" s="3" t="s">
        <v>388</v>
      </c>
      <c r="D95" s="3">
        <v>18</v>
      </c>
      <c r="E95" s="4" t="s">
        <v>2194</v>
      </c>
    </row>
    <row r="96" ht="15.75" spans="1:5">
      <c r="A96" t="str">
        <f t="shared" si="2"/>
        <v>丰速达20T卡派XLX7</v>
      </c>
      <c r="B96" s="3" t="s">
        <v>69</v>
      </c>
      <c r="C96" s="3" t="s">
        <v>2195</v>
      </c>
      <c r="D96" s="3">
        <v>18</v>
      </c>
      <c r="E96" s="4" t="s">
        <v>2194</v>
      </c>
    </row>
    <row r="97" ht="15.75" spans="1:5">
      <c r="A97" t="str">
        <f t="shared" si="2"/>
        <v>丰速达20T卡派GYR2</v>
      </c>
      <c r="B97" s="3" t="s">
        <v>69</v>
      </c>
      <c r="C97" s="3" t="s">
        <v>499</v>
      </c>
      <c r="D97" s="3">
        <v>18</v>
      </c>
      <c r="E97" s="4" t="s">
        <v>2196</v>
      </c>
    </row>
    <row r="98" ht="15.75" spans="1:5">
      <c r="A98" t="str">
        <f t="shared" si="2"/>
        <v>丰速达20T卡派GYR3</v>
      </c>
      <c r="B98" s="3" t="s">
        <v>69</v>
      </c>
      <c r="C98" s="3" t="s">
        <v>513</v>
      </c>
      <c r="D98" s="3">
        <v>18</v>
      </c>
      <c r="E98" s="4" t="s">
        <v>2196</v>
      </c>
    </row>
    <row r="99" ht="15.75" spans="1:5">
      <c r="A99" t="str">
        <f t="shared" si="2"/>
        <v>丰速达20T卡派TCY1</v>
      </c>
      <c r="B99" s="3" t="s">
        <v>69</v>
      </c>
      <c r="C99" s="3" t="s">
        <v>1445</v>
      </c>
      <c r="D99" s="3">
        <v>18</v>
      </c>
      <c r="E99" s="4" t="s">
        <v>2196</v>
      </c>
    </row>
    <row r="100" ht="15.75" spans="1:5">
      <c r="A100" t="str">
        <f t="shared" si="2"/>
        <v>丰速达20T卡派TCY2</v>
      </c>
      <c r="B100" s="3" t="s">
        <v>69</v>
      </c>
      <c r="C100" s="3" t="s">
        <v>1443</v>
      </c>
      <c r="D100" s="3">
        <v>18</v>
      </c>
      <c r="E100" s="4" t="s">
        <v>2196</v>
      </c>
    </row>
    <row r="101" ht="15.75" spans="1:5">
      <c r="A101" t="str">
        <f t="shared" si="2"/>
        <v>丰速达20T卡派HLI2</v>
      </c>
      <c r="B101" s="3" t="s">
        <v>69</v>
      </c>
      <c r="C101" s="3" t="s">
        <v>1439</v>
      </c>
      <c r="D101" s="3">
        <v>18</v>
      </c>
      <c r="E101" s="4" t="s">
        <v>2196</v>
      </c>
    </row>
    <row r="102" ht="15.75" spans="1:5">
      <c r="A102" t="str">
        <f t="shared" si="2"/>
        <v>丰速达20T卡派MIT2</v>
      </c>
      <c r="B102" s="3" t="s">
        <v>69</v>
      </c>
      <c r="C102" s="3" t="s">
        <v>1350</v>
      </c>
      <c r="D102" s="3">
        <v>18</v>
      </c>
      <c r="E102" s="4" t="s">
        <v>2196</v>
      </c>
    </row>
    <row r="103" ht="15.75" spans="1:5">
      <c r="A103" t="str">
        <f t="shared" si="2"/>
        <v>丰速达20T卡派GEU2</v>
      </c>
      <c r="B103" s="3" t="s">
        <v>69</v>
      </c>
      <c r="C103" s="3" t="s">
        <v>1366</v>
      </c>
      <c r="D103" s="3">
        <v>18</v>
      </c>
      <c r="E103" s="4" t="s">
        <v>2196</v>
      </c>
    </row>
    <row r="104" ht="15.75" spans="1:5">
      <c r="A104" t="str">
        <f t="shared" si="2"/>
        <v>丰速达20T卡派GEU3</v>
      </c>
      <c r="B104" s="3" t="s">
        <v>69</v>
      </c>
      <c r="C104" s="3" t="s">
        <v>1353</v>
      </c>
      <c r="D104" s="3">
        <v>18</v>
      </c>
      <c r="E104" s="4" t="s">
        <v>2196</v>
      </c>
    </row>
    <row r="105" ht="15.75" spans="1:5">
      <c r="A105" t="str">
        <f t="shared" si="2"/>
        <v>丰速达20T卡派GEU5</v>
      </c>
      <c r="B105" s="3" t="s">
        <v>69</v>
      </c>
      <c r="C105" s="3" t="s">
        <v>1364</v>
      </c>
      <c r="D105" s="3">
        <v>18</v>
      </c>
      <c r="E105" s="4" t="s">
        <v>2196</v>
      </c>
    </row>
    <row r="106" ht="15.75" spans="1:5">
      <c r="A106" t="str">
        <f t="shared" si="2"/>
        <v>丰速达20T卡派LAS1</v>
      </c>
      <c r="B106" s="3" t="s">
        <v>69</v>
      </c>
      <c r="C106" s="3" t="s">
        <v>485</v>
      </c>
      <c r="D106" s="3">
        <v>18</v>
      </c>
      <c r="E106" s="4" t="s">
        <v>2196</v>
      </c>
    </row>
    <row r="107" ht="15.75" spans="1:5">
      <c r="A107" t="str">
        <f t="shared" si="2"/>
        <v>丰速达20T卡派VGT2</v>
      </c>
      <c r="B107" s="3" t="s">
        <v>69</v>
      </c>
      <c r="C107" s="3" t="s">
        <v>1242</v>
      </c>
      <c r="D107" s="3">
        <v>18</v>
      </c>
      <c r="E107" s="4" t="s">
        <v>2196</v>
      </c>
    </row>
    <row r="108" ht="15.75" spans="1:5">
      <c r="A108" t="str">
        <f t="shared" si="2"/>
        <v>丰速达20T卡派SMF3</v>
      </c>
      <c r="B108" s="3" t="s">
        <v>69</v>
      </c>
      <c r="C108" s="3" t="s">
        <v>362</v>
      </c>
      <c r="D108" s="3">
        <v>18</v>
      </c>
      <c r="E108" s="4" t="s">
        <v>2196</v>
      </c>
    </row>
    <row r="109" ht="15.75" spans="1:5">
      <c r="A109" t="str">
        <f t="shared" si="2"/>
        <v>丰速达20T卡派SCK4</v>
      </c>
      <c r="B109" s="3" t="s">
        <v>69</v>
      </c>
      <c r="C109" s="3" t="s">
        <v>360</v>
      </c>
      <c r="D109" s="3">
        <v>18</v>
      </c>
      <c r="E109" s="4" t="s">
        <v>2196</v>
      </c>
    </row>
    <row r="110" ht="15.75" spans="1:5">
      <c r="A110" t="str">
        <f t="shared" si="2"/>
        <v>丰速达20T卡派IUTE</v>
      </c>
      <c r="B110" s="3" t="s">
        <v>69</v>
      </c>
      <c r="C110" s="3" t="s">
        <v>1471</v>
      </c>
      <c r="D110" s="3">
        <v>18</v>
      </c>
      <c r="E110" s="4" t="s">
        <v>2196</v>
      </c>
    </row>
    <row r="111" ht="15.75" spans="1:5">
      <c r="A111" t="str">
        <f t="shared" si="2"/>
        <v>丰速达20T卡派QXY8</v>
      </c>
      <c r="B111" s="3" t="s">
        <v>69</v>
      </c>
      <c r="C111" s="3" t="s">
        <v>1555</v>
      </c>
      <c r="D111" s="3">
        <v>18</v>
      </c>
      <c r="E111" s="4" t="s">
        <v>2196</v>
      </c>
    </row>
    <row r="112" ht="15.75" spans="1:5">
      <c r="A112" t="str">
        <f t="shared" si="2"/>
        <v>丰速达20T卡派SCK8</v>
      </c>
      <c r="B112" s="3" t="s">
        <v>69</v>
      </c>
      <c r="C112" s="3" t="s">
        <v>1270</v>
      </c>
      <c r="D112" s="3">
        <v>18</v>
      </c>
      <c r="E112" s="4" t="s">
        <v>2197</v>
      </c>
    </row>
    <row r="113" ht="15.75" spans="1:5">
      <c r="A113" t="str">
        <f t="shared" si="2"/>
        <v>丰速达20T卡派FAT2</v>
      </c>
      <c r="B113" s="3" t="s">
        <v>69</v>
      </c>
      <c r="C113" s="3" t="s">
        <v>380</v>
      </c>
      <c r="D113" s="3">
        <v>18</v>
      </c>
      <c r="E113" s="4" t="s">
        <v>2197</v>
      </c>
    </row>
    <row r="114" ht="15.75" spans="1:5">
      <c r="A114" t="str">
        <f t="shared" si="2"/>
        <v>丰速达20T卡派LAS6</v>
      </c>
      <c r="B114" s="3" t="s">
        <v>69</v>
      </c>
      <c r="C114" s="3" t="s">
        <v>474</v>
      </c>
      <c r="D114" s="3">
        <v>18</v>
      </c>
      <c r="E114" s="4" t="s">
        <v>2197</v>
      </c>
    </row>
    <row r="115" ht="15.75" spans="1:5">
      <c r="A115" t="str">
        <f t="shared" si="2"/>
        <v>丰速达20T卡派MCE1</v>
      </c>
      <c r="B115" s="3" t="s">
        <v>69</v>
      </c>
      <c r="C115" s="3" t="s">
        <v>1238</v>
      </c>
      <c r="D115" s="3">
        <v>18</v>
      </c>
      <c r="E115" s="4" t="s">
        <v>2197</v>
      </c>
    </row>
    <row r="116" ht="15.75" spans="1:5">
      <c r="A116" t="str">
        <f t="shared" si="2"/>
        <v>丰速达20T卡派PHX5</v>
      </c>
      <c r="B116" s="3" t="s">
        <v>69</v>
      </c>
      <c r="C116" s="3" t="s">
        <v>506</v>
      </c>
      <c r="D116" s="3">
        <v>18</v>
      </c>
      <c r="E116" s="4" t="s">
        <v>2197</v>
      </c>
    </row>
    <row r="117" ht="15.75" spans="1:5">
      <c r="A117" t="str">
        <f t="shared" si="2"/>
        <v>丰速达20T卡派PHX7</v>
      </c>
      <c r="B117" s="3" t="s">
        <v>69</v>
      </c>
      <c r="C117" s="3" t="s">
        <v>522</v>
      </c>
      <c r="D117" s="3">
        <v>18</v>
      </c>
      <c r="E117" s="4" t="s">
        <v>2197</v>
      </c>
    </row>
    <row r="118" ht="15.75" spans="1:5">
      <c r="A118" t="str">
        <f t="shared" si="2"/>
        <v>丰速达20T卡派SMF6</v>
      </c>
      <c r="B118" s="3" t="s">
        <v>69</v>
      </c>
      <c r="C118" s="3" t="s">
        <v>329</v>
      </c>
      <c r="D118" s="3">
        <v>18</v>
      </c>
      <c r="E118" s="4" t="s">
        <v>2197</v>
      </c>
    </row>
    <row r="119" ht="15.75" spans="1:5">
      <c r="A119" t="str">
        <f t="shared" si="2"/>
        <v>丰速达20T卡派OAK3</v>
      </c>
      <c r="B119" s="3" t="s">
        <v>69</v>
      </c>
      <c r="C119" s="3" t="s">
        <v>345</v>
      </c>
      <c r="D119" s="3">
        <v>18</v>
      </c>
      <c r="E119" s="4" t="s">
        <v>2197</v>
      </c>
    </row>
    <row r="120" ht="15.75" spans="1:5">
      <c r="A120" t="str">
        <f t="shared" si="2"/>
        <v>丰速达20T卡派SLC2</v>
      </c>
      <c r="B120" s="3" t="s">
        <v>69</v>
      </c>
      <c r="C120" s="3" t="s">
        <v>532</v>
      </c>
      <c r="D120" s="3">
        <v>20</v>
      </c>
      <c r="E120" s="4" t="s">
        <v>2198</v>
      </c>
    </row>
    <row r="121" ht="15.75" spans="1:5">
      <c r="A121" t="str">
        <f t="shared" si="2"/>
        <v>丰速达20T卡派ABQ2</v>
      </c>
      <c r="B121" s="3" t="s">
        <v>69</v>
      </c>
      <c r="C121" s="3" t="s">
        <v>1313</v>
      </c>
      <c r="D121" s="3">
        <v>20</v>
      </c>
      <c r="E121" s="4" t="s">
        <v>2198</v>
      </c>
    </row>
    <row r="122" ht="15.75" spans="1:5">
      <c r="A122" t="str">
        <f t="shared" si="2"/>
        <v>丰速达20T卡派FTW1</v>
      </c>
      <c r="B122" s="3" t="s">
        <v>69</v>
      </c>
      <c r="C122" s="3" t="s">
        <v>614</v>
      </c>
      <c r="D122" s="3">
        <v>20</v>
      </c>
      <c r="E122" s="4" t="s">
        <v>2199</v>
      </c>
    </row>
    <row r="123" ht="15.75" spans="1:5">
      <c r="A123" t="str">
        <f t="shared" si="2"/>
        <v>丰速达20T卡派DFW6</v>
      </c>
      <c r="B123" s="3" t="s">
        <v>69</v>
      </c>
      <c r="C123" s="3" t="s">
        <v>632</v>
      </c>
      <c r="D123" s="3">
        <v>20</v>
      </c>
      <c r="E123" s="4" t="s">
        <v>2199</v>
      </c>
    </row>
    <row r="124" ht="15.75" spans="1:5">
      <c r="A124" t="str">
        <f t="shared" si="2"/>
        <v>丰速达20T卡派IUSF</v>
      </c>
      <c r="B124" s="3" t="s">
        <v>69</v>
      </c>
      <c r="C124" s="3" t="s">
        <v>1370</v>
      </c>
      <c r="D124" s="3">
        <v>20</v>
      </c>
      <c r="E124" s="4" t="s">
        <v>2199</v>
      </c>
    </row>
    <row r="125" ht="15.75" spans="1:5">
      <c r="A125" t="str">
        <f t="shared" si="2"/>
        <v>丰速达20T卡派SAT1</v>
      </c>
      <c r="B125" s="3" t="s">
        <v>69</v>
      </c>
      <c r="C125" s="3" t="s">
        <v>564</v>
      </c>
      <c r="D125" s="3">
        <v>20</v>
      </c>
      <c r="E125" s="4" t="s">
        <v>2199</v>
      </c>
    </row>
    <row r="126" ht="15.75" spans="1:5">
      <c r="A126" t="str">
        <f t="shared" si="2"/>
        <v>丰速达20T卡派SAT4</v>
      </c>
      <c r="B126" s="3" t="s">
        <v>69</v>
      </c>
      <c r="C126" s="3" t="s">
        <v>560</v>
      </c>
      <c r="D126" s="3">
        <v>20</v>
      </c>
      <c r="E126" s="4" t="s">
        <v>2199</v>
      </c>
    </row>
    <row r="127" ht="15.75" spans="1:5">
      <c r="A127" t="str">
        <f t="shared" si="2"/>
        <v>丰速达20T卡派FTW5</v>
      </c>
      <c r="B127" s="3" t="s">
        <v>69</v>
      </c>
      <c r="C127" s="3" t="s">
        <v>625</v>
      </c>
      <c r="D127" s="3">
        <v>20</v>
      </c>
      <c r="E127" s="4" t="s">
        <v>2199</v>
      </c>
    </row>
    <row r="128" ht="15.75" spans="1:5">
      <c r="A128" t="str">
        <f t="shared" si="2"/>
        <v>丰速达20T卡派IAH3</v>
      </c>
      <c r="B128" s="3" t="s">
        <v>69</v>
      </c>
      <c r="C128" s="3" t="s">
        <v>1266</v>
      </c>
      <c r="D128" s="3">
        <v>20</v>
      </c>
      <c r="E128" s="4" t="s">
        <v>2199</v>
      </c>
    </row>
    <row r="129" ht="15.75" spans="1:5">
      <c r="A129" t="str">
        <f t="shared" si="2"/>
        <v>丰速达20T卡派HOU8</v>
      </c>
      <c r="B129" s="3" t="s">
        <v>69</v>
      </c>
      <c r="C129" s="3" t="s">
        <v>568</v>
      </c>
      <c r="D129" s="3">
        <v>20</v>
      </c>
      <c r="E129" s="4" t="s">
        <v>2199</v>
      </c>
    </row>
    <row r="130" ht="15.75" spans="1:5">
      <c r="A130" t="str">
        <f t="shared" si="2"/>
        <v>丰速达20T卡派AMA1</v>
      </c>
      <c r="B130" s="3" t="s">
        <v>69</v>
      </c>
      <c r="C130" s="3" t="s">
        <v>1252</v>
      </c>
      <c r="D130" s="3">
        <v>20</v>
      </c>
      <c r="E130" s="4" t="s">
        <v>2199</v>
      </c>
    </row>
    <row r="131" ht="15.75" spans="1:5">
      <c r="A131" t="str">
        <f t="shared" si="2"/>
        <v>丰速达20T卡派DEN2</v>
      </c>
      <c r="B131" s="3" t="s">
        <v>69</v>
      </c>
      <c r="C131" s="3" t="s">
        <v>541</v>
      </c>
      <c r="D131" s="3">
        <v>20</v>
      </c>
      <c r="E131" s="4" t="s">
        <v>2200</v>
      </c>
    </row>
    <row r="132" ht="15.75" spans="1:5">
      <c r="A132" t="str">
        <f t="shared" si="2"/>
        <v>丰速达20T卡派DEN8</v>
      </c>
      <c r="B132" s="3" t="s">
        <v>69</v>
      </c>
      <c r="C132" s="3" t="s">
        <v>548</v>
      </c>
      <c r="D132" s="3">
        <v>20</v>
      </c>
      <c r="E132" s="4" t="s">
        <v>2200</v>
      </c>
    </row>
    <row r="133" ht="15.75" spans="1:5">
      <c r="A133" t="str">
        <f t="shared" si="2"/>
        <v>丰速达20T卡派PSC2</v>
      </c>
      <c r="B133" s="3" t="s">
        <v>69</v>
      </c>
      <c r="C133" s="3" t="s">
        <v>1326</v>
      </c>
      <c r="D133" s="3">
        <v>20</v>
      </c>
      <c r="E133" s="4" t="s">
        <v>2200</v>
      </c>
    </row>
    <row r="134" ht="15.75" spans="1:5">
      <c r="A134" t="str">
        <f t="shared" si="2"/>
        <v>丰速达20T卡派BFI3</v>
      </c>
      <c r="B134" s="3" t="s">
        <v>69</v>
      </c>
      <c r="C134" s="3" t="s">
        <v>298</v>
      </c>
      <c r="D134" s="3">
        <v>20</v>
      </c>
      <c r="E134" s="4" t="s">
        <v>2200</v>
      </c>
    </row>
    <row r="135" ht="15.75" spans="1:5">
      <c r="A135" t="str">
        <f t="shared" si="2"/>
        <v>丰速达20T卡派GEG2</v>
      </c>
      <c r="B135" s="3" t="s">
        <v>69</v>
      </c>
      <c r="C135" s="3" t="s">
        <v>287</v>
      </c>
      <c r="D135" s="3">
        <v>20</v>
      </c>
      <c r="E135" s="4" t="s">
        <v>2200</v>
      </c>
    </row>
    <row r="136" ht="15.75" spans="1:5">
      <c r="A136" t="str">
        <f t="shared" si="2"/>
        <v>丰速达20T卡派IND9</v>
      </c>
      <c r="B136" s="3" t="s">
        <v>69</v>
      </c>
      <c r="C136" s="3" t="s">
        <v>803</v>
      </c>
      <c r="D136" s="3">
        <v>20</v>
      </c>
      <c r="E136" s="4" t="s">
        <v>2201</v>
      </c>
    </row>
    <row r="137" ht="15.75" spans="1:5">
      <c r="A137" t="str">
        <f t="shared" si="2"/>
        <v>丰速达20T卡派MQJ1</v>
      </c>
      <c r="B137" s="3" t="s">
        <v>69</v>
      </c>
      <c r="C137" s="3" t="s">
        <v>807</v>
      </c>
      <c r="D137" s="3">
        <v>20</v>
      </c>
      <c r="E137" s="4" t="s">
        <v>2201</v>
      </c>
    </row>
    <row r="138" ht="15.75" spans="1:5">
      <c r="A138" t="str">
        <f t="shared" si="2"/>
        <v>丰速达20T卡派MDW2</v>
      </c>
      <c r="B138" s="3" t="s">
        <v>69</v>
      </c>
      <c r="C138" s="3" t="s">
        <v>718</v>
      </c>
      <c r="D138" s="3">
        <v>20</v>
      </c>
      <c r="E138" s="4" t="s">
        <v>2201</v>
      </c>
    </row>
    <row r="139" ht="15.75" spans="1:5">
      <c r="A139" t="str">
        <f t="shared" si="2"/>
        <v>丰速达20T卡派FWA4</v>
      </c>
      <c r="B139" s="3" t="s">
        <v>69</v>
      </c>
      <c r="C139" s="3" t="s">
        <v>783</v>
      </c>
      <c r="D139" s="3">
        <v>20</v>
      </c>
      <c r="E139" s="4" t="s">
        <v>2201</v>
      </c>
    </row>
    <row r="140" ht="15.75" spans="1:5">
      <c r="A140" t="str">
        <f t="shared" ref="A140:A153" si="3">B140&amp;C140</f>
        <v>丰速达20T卡派MEM1</v>
      </c>
      <c r="B140" s="3" t="s">
        <v>69</v>
      </c>
      <c r="C140" s="3" t="s">
        <v>911</v>
      </c>
      <c r="D140" s="3">
        <v>20</v>
      </c>
      <c r="E140" s="4" t="s">
        <v>2201</v>
      </c>
    </row>
    <row r="141" ht="15.75" spans="1:5">
      <c r="A141" t="str">
        <f t="shared" si="3"/>
        <v>丰速达20T卡派RFD2</v>
      </c>
      <c r="B141" s="3" t="s">
        <v>69</v>
      </c>
      <c r="C141" s="3" t="s">
        <v>1379</v>
      </c>
      <c r="D141" s="3">
        <v>20</v>
      </c>
      <c r="E141" s="4" t="s">
        <v>2201</v>
      </c>
    </row>
    <row r="142" ht="15.75" spans="1:5">
      <c r="A142" t="str">
        <f t="shared" si="3"/>
        <v>丰速达20T卡派CLT2</v>
      </c>
      <c r="B142" s="3" t="s">
        <v>69</v>
      </c>
      <c r="C142" s="3" t="s">
        <v>1045</v>
      </c>
      <c r="D142" s="3">
        <v>21</v>
      </c>
      <c r="E142" s="4" t="s">
        <v>2202</v>
      </c>
    </row>
    <row r="143" ht="15.75" spans="1:5">
      <c r="A143" t="str">
        <f t="shared" si="3"/>
        <v>丰速达20T卡派RDU4</v>
      </c>
      <c r="B143" s="3" t="s">
        <v>69</v>
      </c>
      <c r="C143" s="3" t="s">
        <v>1297</v>
      </c>
      <c r="D143" s="3">
        <v>21</v>
      </c>
      <c r="E143" s="4" t="s">
        <v>2202</v>
      </c>
    </row>
    <row r="144" ht="15.75" spans="1:5">
      <c r="A144" t="str">
        <f t="shared" si="3"/>
        <v>丰速达20T卡派RDU2</v>
      </c>
      <c r="B144" s="3" t="s">
        <v>69</v>
      </c>
      <c r="C144" s="3" t="s">
        <v>1273</v>
      </c>
      <c r="D144" s="3">
        <v>21</v>
      </c>
      <c r="E144" s="4" t="s">
        <v>2202</v>
      </c>
    </row>
    <row r="145" ht="15.75" spans="1:5">
      <c r="A145" t="str">
        <f t="shared" si="3"/>
        <v>丰速达20T卡派LAN2</v>
      </c>
      <c r="B145" s="3" t="s">
        <v>69</v>
      </c>
      <c r="C145" s="3" t="s">
        <v>1305</v>
      </c>
      <c r="D145" s="3">
        <v>21</v>
      </c>
      <c r="E145" s="4" t="s">
        <v>2202</v>
      </c>
    </row>
    <row r="146" ht="15.75" spans="1:5">
      <c r="A146" t="str">
        <f t="shared" si="3"/>
        <v>丰速达20T卡派BNA6</v>
      </c>
      <c r="B146" s="3" t="s">
        <v>69</v>
      </c>
      <c r="C146" s="3" t="s">
        <v>1322</v>
      </c>
      <c r="D146" s="3">
        <v>21</v>
      </c>
      <c r="E146" s="4" t="s">
        <v>2202</v>
      </c>
    </row>
    <row r="147" ht="15.75" spans="1:5">
      <c r="A147" t="str">
        <f t="shared" si="3"/>
        <v>丰速达20T卡派AVP1</v>
      </c>
      <c r="B147" s="3" t="s">
        <v>69</v>
      </c>
      <c r="C147" s="3" t="s">
        <v>1153</v>
      </c>
      <c r="D147" s="3">
        <v>21</v>
      </c>
      <c r="E147" s="4" t="s">
        <v>2203</v>
      </c>
    </row>
    <row r="148" ht="15.75" spans="1:5">
      <c r="A148" t="str">
        <f t="shared" si="3"/>
        <v>丰速达20T卡派ORF2</v>
      </c>
      <c r="B148" s="3" t="s">
        <v>69</v>
      </c>
      <c r="C148" s="3" t="s">
        <v>1277</v>
      </c>
      <c r="D148" s="3">
        <v>21</v>
      </c>
      <c r="E148" s="4" t="s">
        <v>2203</v>
      </c>
    </row>
    <row r="149" ht="15.75" spans="1:5">
      <c r="A149" t="str">
        <f t="shared" si="3"/>
        <v>丰速达20T卡派SWF2</v>
      </c>
      <c r="B149" s="3" t="s">
        <v>69</v>
      </c>
      <c r="C149" s="3" t="s">
        <v>1260</v>
      </c>
      <c r="D149" s="3">
        <v>21</v>
      </c>
      <c r="E149" s="4" t="s">
        <v>2203</v>
      </c>
    </row>
    <row r="150" ht="15.75" spans="1:5">
      <c r="A150" t="str">
        <f t="shared" si="3"/>
        <v>丰速达20T卡派ABE8</v>
      </c>
      <c r="B150" s="3" t="s">
        <v>69</v>
      </c>
      <c r="C150" s="3" t="s">
        <v>208</v>
      </c>
      <c r="D150" s="3">
        <v>21</v>
      </c>
      <c r="E150" s="4" t="s">
        <v>2203</v>
      </c>
    </row>
    <row r="151" ht="15.75" spans="1:5">
      <c r="A151" t="str">
        <f t="shared" si="3"/>
        <v>丰速达20T卡派TEB9</v>
      </c>
      <c r="B151" s="3" t="s">
        <v>69</v>
      </c>
      <c r="C151" s="3" t="s">
        <v>182</v>
      </c>
      <c r="D151" s="3">
        <v>21</v>
      </c>
      <c r="E151" s="4" t="s">
        <v>2203</v>
      </c>
    </row>
    <row r="152" ht="15.75" spans="1:5">
      <c r="A152" t="str">
        <f t="shared" si="3"/>
        <v>丰速达20T卡派TPA3</v>
      </c>
      <c r="B152" s="3" t="s">
        <v>69</v>
      </c>
      <c r="C152" s="3" t="s">
        <v>953</v>
      </c>
      <c r="D152" s="3">
        <v>21</v>
      </c>
      <c r="E152" s="4" t="s">
        <v>2203</v>
      </c>
    </row>
    <row r="153" ht="15.75" spans="1:5">
      <c r="A153" t="str">
        <f t="shared" si="3"/>
        <v>丰速达20T卡派RMN3</v>
      </c>
      <c r="B153" s="3" t="s">
        <v>69</v>
      </c>
      <c r="C153" s="3" t="s">
        <v>1281</v>
      </c>
      <c r="D153" s="3">
        <v>21</v>
      </c>
      <c r="E153" s="4" t="s">
        <v>2203</v>
      </c>
    </row>
    <row r="155" ht="33.75" spans="1:5">
      <c r="B155" s="1" t="s">
        <v>2190</v>
      </c>
      <c r="C155" s="1" t="s">
        <v>170</v>
      </c>
      <c r="D155" s="1" t="s">
        <v>2191</v>
      </c>
      <c r="E155" s="2" t="s">
        <v>2192</v>
      </c>
    </row>
    <row r="156" ht="15.75" spans="1:5">
      <c r="A156" t="str">
        <f t="shared" ref="A156:A219" si="4">B156&amp;C156</f>
        <v>美森CLX正班卡派ONT8</v>
      </c>
      <c r="B156" s="3" t="s">
        <v>80</v>
      </c>
      <c r="C156" s="3" t="s">
        <v>395</v>
      </c>
      <c r="D156" s="3">
        <v>15</v>
      </c>
      <c r="E156" s="4" t="s">
        <v>2193</v>
      </c>
    </row>
    <row r="157" ht="15.75" spans="1:5">
      <c r="A157" t="str">
        <f t="shared" si="4"/>
        <v>美森CLX正班卡派LGB8</v>
      </c>
      <c r="B157" s="3" t="s">
        <v>80</v>
      </c>
      <c r="C157" s="3" t="s">
        <v>419</v>
      </c>
      <c r="D157" s="3">
        <v>15</v>
      </c>
      <c r="E157" s="4" t="s">
        <v>2193</v>
      </c>
    </row>
    <row r="158" ht="15.75" spans="1:5">
      <c r="A158" t="str">
        <f t="shared" si="4"/>
        <v>美森CLX正班卡派LAX9</v>
      </c>
      <c r="B158" s="3" t="s">
        <v>80</v>
      </c>
      <c r="C158" s="3" t="s">
        <v>433</v>
      </c>
      <c r="D158" s="3">
        <v>15</v>
      </c>
      <c r="E158" s="4" t="s">
        <v>2193</v>
      </c>
    </row>
    <row r="159" ht="15.75" spans="1:5">
      <c r="A159" t="str">
        <f t="shared" si="4"/>
        <v>美森CLX正班卡派SBD1</v>
      </c>
      <c r="B159" s="3" t="s">
        <v>80</v>
      </c>
      <c r="C159" s="3" t="s">
        <v>440</v>
      </c>
      <c r="D159" s="3">
        <v>15</v>
      </c>
      <c r="E159" s="4" t="s">
        <v>2193</v>
      </c>
    </row>
    <row r="160" ht="15.75" spans="1:5">
      <c r="A160" t="str">
        <f t="shared" si="4"/>
        <v>美森CLX正班卡派POC1</v>
      </c>
      <c r="B160" s="3" t="s">
        <v>80</v>
      </c>
      <c r="C160" s="3" t="s">
        <v>1407</v>
      </c>
      <c r="D160" s="3">
        <v>15</v>
      </c>
      <c r="E160" s="4" t="s">
        <v>2193</v>
      </c>
    </row>
    <row r="161" ht="15.75" spans="1:5">
      <c r="A161" t="str">
        <f t="shared" si="4"/>
        <v>美森CLX正班卡派POC2</v>
      </c>
      <c r="B161" s="3" t="s">
        <v>80</v>
      </c>
      <c r="C161" s="3" t="s">
        <v>1456</v>
      </c>
      <c r="D161" s="3">
        <v>15</v>
      </c>
      <c r="E161" s="4" t="s">
        <v>2193</v>
      </c>
    </row>
    <row r="162" ht="15.75" spans="1:5">
      <c r="A162" t="str">
        <f t="shared" si="4"/>
        <v>美森CLX正班卡派POC3</v>
      </c>
      <c r="B162" s="3" t="s">
        <v>80</v>
      </c>
      <c r="C162" s="3" t="s">
        <v>1410</v>
      </c>
      <c r="D162" s="3">
        <v>15</v>
      </c>
      <c r="E162" s="4" t="s">
        <v>2193</v>
      </c>
    </row>
    <row r="163" ht="15.75" spans="1:5">
      <c r="A163" t="str">
        <f t="shared" si="4"/>
        <v>美森CLX正班卡派IUSP</v>
      </c>
      <c r="B163" s="3" t="s">
        <v>80</v>
      </c>
      <c r="C163" s="3" t="s">
        <v>1393</v>
      </c>
      <c r="D163" s="3">
        <v>15</v>
      </c>
      <c r="E163" s="4" t="s">
        <v>2194</v>
      </c>
    </row>
    <row r="164" ht="15.75" spans="1:5">
      <c r="A164" t="str">
        <f t="shared" si="4"/>
        <v>美森CLX正班卡派IUSQ</v>
      </c>
      <c r="B164" s="3" t="s">
        <v>80</v>
      </c>
      <c r="C164" s="3" t="s">
        <v>1361</v>
      </c>
      <c r="D164" s="3">
        <v>15</v>
      </c>
      <c r="E164" s="4" t="s">
        <v>2194</v>
      </c>
    </row>
    <row r="165" ht="15.75" spans="1:5">
      <c r="A165" t="str">
        <f t="shared" si="4"/>
        <v>美森CLX正班卡派IUSJ</v>
      </c>
      <c r="B165" s="3" t="s">
        <v>80</v>
      </c>
      <c r="C165" s="3" t="s">
        <v>1264</v>
      </c>
      <c r="D165" s="3">
        <v>15</v>
      </c>
      <c r="E165" s="4" t="s">
        <v>2194</v>
      </c>
    </row>
    <row r="166" ht="15.75" spans="1:5">
      <c r="A166" t="str">
        <f t="shared" si="4"/>
        <v>美森CLX正班卡派IUTI</v>
      </c>
      <c r="B166" s="3" t="s">
        <v>80</v>
      </c>
      <c r="C166" s="3" t="s">
        <v>1466</v>
      </c>
      <c r="D166" s="3">
        <v>15</v>
      </c>
      <c r="E166" s="4" t="s">
        <v>2194</v>
      </c>
    </row>
    <row r="167" ht="15.75" spans="1:5">
      <c r="A167" t="str">
        <f t="shared" si="4"/>
        <v>美森CLX正班卡派IUSW</v>
      </c>
      <c r="B167" s="3" t="s">
        <v>80</v>
      </c>
      <c r="C167" s="3" t="s">
        <v>1468</v>
      </c>
      <c r="D167" s="3">
        <v>15</v>
      </c>
      <c r="E167" s="4" t="s">
        <v>2194</v>
      </c>
    </row>
    <row r="168" ht="15.75" spans="1:5">
      <c r="A168" t="str">
        <f t="shared" si="4"/>
        <v>美森CLX正班卡派SNA4</v>
      </c>
      <c r="B168" s="3" t="s">
        <v>80</v>
      </c>
      <c r="C168" s="3" t="s">
        <v>415</v>
      </c>
      <c r="D168" s="3">
        <v>15</v>
      </c>
      <c r="E168" s="4" t="s">
        <v>2194</v>
      </c>
    </row>
    <row r="169" ht="15.75" spans="1:5">
      <c r="A169" t="str">
        <f t="shared" si="4"/>
        <v>美森CLX正班卡派SBD2</v>
      </c>
      <c r="B169" s="3" t="s">
        <v>80</v>
      </c>
      <c r="C169" s="3" t="s">
        <v>405</v>
      </c>
      <c r="D169" s="3">
        <v>15</v>
      </c>
      <c r="E169" s="4" t="s">
        <v>2194</v>
      </c>
    </row>
    <row r="170" ht="15.75" spans="1:5">
      <c r="A170" t="str">
        <f t="shared" si="4"/>
        <v>美森CLX正班卡派LGB4</v>
      </c>
      <c r="B170" s="3" t="s">
        <v>80</v>
      </c>
      <c r="C170" s="3" t="s">
        <v>431</v>
      </c>
      <c r="D170" s="3">
        <v>15</v>
      </c>
      <c r="E170" s="4" t="s">
        <v>2194</v>
      </c>
    </row>
    <row r="171" ht="15.75" spans="1:5">
      <c r="A171" t="str">
        <f t="shared" si="4"/>
        <v>美森CLX正班卡派LGB6</v>
      </c>
      <c r="B171" s="3" t="s">
        <v>80</v>
      </c>
      <c r="C171" s="3" t="s">
        <v>397</v>
      </c>
      <c r="D171" s="3">
        <v>15</v>
      </c>
      <c r="E171" s="4" t="s">
        <v>2194</v>
      </c>
    </row>
    <row r="172" ht="15.75" spans="1:5">
      <c r="A172" t="str">
        <f t="shared" si="4"/>
        <v>美森CLX正班卡派LGB9</v>
      </c>
      <c r="B172" s="3" t="s">
        <v>80</v>
      </c>
      <c r="C172" s="3" t="s">
        <v>388</v>
      </c>
      <c r="D172" s="3">
        <v>15</v>
      </c>
      <c r="E172" s="4" t="s">
        <v>2194</v>
      </c>
    </row>
    <row r="173" ht="15.75" spans="1:5">
      <c r="A173" t="str">
        <f t="shared" si="4"/>
        <v>美森CLX正班卡派XLX7</v>
      </c>
      <c r="B173" s="3" t="s">
        <v>80</v>
      </c>
      <c r="C173" s="3" t="s">
        <v>2195</v>
      </c>
      <c r="D173" s="3">
        <v>15</v>
      </c>
      <c r="E173" s="4" t="s">
        <v>2194</v>
      </c>
    </row>
    <row r="174" ht="15.75" spans="1:5">
      <c r="A174" t="str">
        <f t="shared" si="4"/>
        <v>美森CLX正班卡派GYR2</v>
      </c>
      <c r="B174" s="3" t="s">
        <v>80</v>
      </c>
      <c r="C174" s="3" t="s">
        <v>499</v>
      </c>
      <c r="D174" s="3">
        <v>15</v>
      </c>
      <c r="E174" s="4" t="s">
        <v>2196</v>
      </c>
    </row>
    <row r="175" ht="15.75" spans="1:5">
      <c r="A175" t="str">
        <f t="shared" si="4"/>
        <v>美森CLX正班卡派GYR3</v>
      </c>
      <c r="B175" s="3" t="s">
        <v>80</v>
      </c>
      <c r="C175" s="3" t="s">
        <v>513</v>
      </c>
      <c r="D175" s="3">
        <v>15</v>
      </c>
      <c r="E175" s="4" t="s">
        <v>2196</v>
      </c>
    </row>
    <row r="176" ht="15.75" spans="1:5">
      <c r="A176" t="str">
        <f t="shared" si="4"/>
        <v>美森CLX正班卡派TCY1</v>
      </c>
      <c r="B176" s="3" t="s">
        <v>80</v>
      </c>
      <c r="C176" s="3" t="s">
        <v>1445</v>
      </c>
      <c r="D176" s="3">
        <v>15</v>
      </c>
      <c r="E176" s="4" t="s">
        <v>2196</v>
      </c>
    </row>
    <row r="177" ht="15.75" spans="1:5">
      <c r="A177" t="str">
        <f t="shared" si="4"/>
        <v>美森CLX正班卡派TCY2</v>
      </c>
      <c r="B177" s="3" t="s">
        <v>80</v>
      </c>
      <c r="C177" s="3" t="s">
        <v>1443</v>
      </c>
      <c r="D177" s="3">
        <v>15</v>
      </c>
      <c r="E177" s="4" t="s">
        <v>2196</v>
      </c>
    </row>
    <row r="178" ht="15.75" spans="1:5">
      <c r="A178" t="str">
        <f t="shared" si="4"/>
        <v>美森CLX正班卡派HLI2</v>
      </c>
      <c r="B178" s="3" t="s">
        <v>80</v>
      </c>
      <c r="C178" s="3" t="s">
        <v>1439</v>
      </c>
      <c r="D178" s="3">
        <v>15</v>
      </c>
      <c r="E178" s="4" t="s">
        <v>2196</v>
      </c>
    </row>
    <row r="179" ht="15.75" spans="1:5">
      <c r="A179" t="str">
        <f t="shared" si="4"/>
        <v>美森CLX正班卡派MIT2</v>
      </c>
      <c r="B179" s="3" t="s">
        <v>80</v>
      </c>
      <c r="C179" s="3" t="s">
        <v>1350</v>
      </c>
      <c r="D179" s="3">
        <v>15</v>
      </c>
      <c r="E179" s="4" t="s">
        <v>2196</v>
      </c>
    </row>
    <row r="180" ht="15.75" spans="1:5">
      <c r="A180" t="str">
        <f t="shared" si="4"/>
        <v>美森CLX正班卡派GEU2</v>
      </c>
      <c r="B180" s="3" t="s">
        <v>80</v>
      </c>
      <c r="C180" s="3" t="s">
        <v>1366</v>
      </c>
      <c r="D180" s="3">
        <v>15</v>
      </c>
      <c r="E180" s="4" t="s">
        <v>2196</v>
      </c>
    </row>
    <row r="181" ht="15.75" spans="1:5">
      <c r="A181" t="str">
        <f t="shared" si="4"/>
        <v>美森CLX正班卡派GEU3</v>
      </c>
      <c r="B181" s="3" t="s">
        <v>80</v>
      </c>
      <c r="C181" s="3" t="s">
        <v>1353</v>
      </c>
      <c r="D181" s="3">
        <v>15</v>
      </c>
      <c r="E181" s="4" t="s">
        <v>2196</v>
      </c>
    </row>
    <row r="182" ht="15.75" spans="1:5">
      <c r="A182" t="str">
        <f t="shared" si="4"/>
        <v>美森CLX正班卡派GEU5</v>
      </c>
      <c r="B182" s="3" t="s">
        <v>80</v>
      </c>
      <c r="C182" s="3" t="s">
        <v>1364</v>
      </c>
      <c r="D182" s="3">
        <v>15</v>
      </c>
      <c r="E182" s="4" t="s">
        <v>2196</v>
      </c>
    </row>
    <row r="183" ht="15.75" spans="1:5">
      <c r="A183" t="str">
        <f t="shared" si="4"/>
        <v>美森CLX正班卡派LAS1</v>
      </c>
      <c r="B183" s="3" t="s">
        <v>80</v>
      </c>
      <c r="C183" s="3" t="s">
        <v>485</v>
      </c>
      <c r="D183" s="3">
        <v>15</v>
      </c>
      <c r="E183" s="4" t="s">
        <v>2196</v>
      </c>
    </row>
    <row r="184" ht="15.75" spans="1:5">
      <c r="A184" t="str">
        <f t="shared" si="4"/>
        <v>美森CLX正班卡派VGT2</v>
      </c>
      <c r="B184" s="3" t="s">
        <v>80</v>
      </c>
      <c r="C184" s="3" t="s">
        <v>1242</v>
      </c>
      <c r="D184" s="3">
        <v>15</v>
      </c>
      <c r="E184" s="4" t="s">
        <v>2196</v>
      </c>
    </row>
    <row r="185" ht="15.75" spans="1:5">
      <c r="A185" t="str">
        <f t="shared" si="4"/>
        <v>美森CLX正班卡派SMF3</v>
      </c>
      <c r="B185" s="3" t="s">
        <v>80</v>
      </c>
      <c r="C185" s="3" t="s">
        <v>362</v>
      </c>
      <c r="D185" s="3">
        <v>15</v>
      </c>
      <c r="E185" s="4" t="s">
        <v>2196</v>
      </c>
    </row>
    <row r="186" ht="15.75" spans="1:5">
      <c r="A186" t="str">
        <f t="shared" si="4"/>
        <v>美森CLX正班卡派SCK4</v>
      </c>
      <c r="B186" s="3" t="s">
        <v>80</v>
      </c>
      <c r="C186" s="3" t="s">
        <v>360</v>
      </c>
      <c r="D186" s="3">
        <v>15</v>
      </c>
      <c r="E186" s="4" t="s">
        <v>2196</v>
      </c>
    </row>
    <row r="187" ht="15.75" spans="1:5">
      <c r="A187" t="str">
        <f t="shared" si="4"/>
        <v>美森CLX正班卡派IUTE</v>
      </c>
      <c r="B187" s="3" t="s">
        <v>80</v>
      </c>
      <c r="C187" s="3" t="s">
        <v>1471</v>
      </c>
      <c r="D187" s="3">
        <v>15</v>
      </c>
      <c r="E187" s="4" t="s">
        <v>2196</v>
      </c>
    </row>
    <row r="188" ht="15.75" spans="1:5">
      <c r="A188" t="str">
        <f t="shared" si="4"/>
        <v>美森CLX正班卡派QXY8</v>
      </c>
      <c r="B188" s="3" t="s">
        <v>80</v>
      </c>
      <c r="C188" s="3" t="s">
        <v>1555</v>
      </c>
      <c r="D188" s="3">
        <v>15</v>
      </c>
      <c r="E188" s="4" t="s">
        <v>2196</v>
      </c>
    </row>
    <row r="189" ht="15.75" spans="1:5">
      <c r="A189" t="str">
        <f t="shared" si="4"/>
        <v>美森CLX正班卡派SCK8</v>
      </c>
      <c r="B189" s="3" t="s">
        <v>80</v>
      </c>
      <c r="C189" s="3" t="s">
        <v>1270</v>
      </c>
      <c r="D189" s="3">
        <v>15</v>
      </c>
      <c r="E189" s="4" t="s">
        <v>2197</v>
      </c>
    </row>
    <row r="190" ht="15.75" spans="1:5">
      <c r="A190" t="str">
        <f t="shared" si="4"/>
        <v>美森CLX正班卡派FAT2</v>
      </c>
      <c r="B190" s="3" t="s">
        <v>80</v>
      </c>
      <c r="C190" s="3" t="s">
        <v>380</v>
      </c>
      <c r="D190" s="3">
        <v>15</v>
      </c>
      <c r="E190" s="4" t="s">
        <v>2197</v>
      </c>
    </row>
    <row r="191" ht="15.75" spans="1:5">
      <c r="A191" t="str">
        <f t="shared" si="4"/>
        <v>美森CLX正班卡派LAS6</v>
      </c>
      <c r="B191" s="3" t="s">
        <v>80</v>
      </c>
      <c r="C191" s="3" t="s">
        <v>474</v>
      </c>
      <c r="D191" s="3">
        <v>15</v>
      </c>
      <c r="E191" s="4" t="s">
        <v>2197</v>
      </c>
    </row>
    <row r="192" ht="15.75" spans="1:5">
      <c r="A192" t="str">
        <f t="shared" si="4"/>
        <v>美森CLX正班卡派MCE1</v>
      </c>
      <c r="B192" s="3" t="s">
        <v>80</v>
      </c>
      <c r="C192" s="3" t="s">
        <v>1238</v>
      </c>
      <c r="D192" s="3">
        <v>15</v>
      </c>
      <c r="E192" s="4" t="s">
        <v>2197</v>
      </c>
    </row>
    <row r="193" ht="15.75" spans="1:5">
      <c r="A193" t="str">
        <f t="shared" si="4"/>
        <v>美森CLX正班卡派PHX5</v>
      </c>
      <c r="B193" s="3" t="s">
        <v>80</v>
      </c>
      <c r="C193" s="3" t="s">
        <v>506</v>
      </c>
      <c r="D193" s="3">
        <v>15</v>
      </c>
      <c r="E193" s="4" t="s">
        <v>2197</v>
      </c>
    </row>
    <row r="194" ht="15.75" spans="1:5">
      <c r="A194" t="str">
        <f t="shared" si="4"/>
        <v>美森CLX正班卡派PHX7</v>
      </c>
      <c r="B194" s="3" t="s">
        <v>80</v>
      </c>
      <c r="C194" s="3" t="s">
        <v>522</v>
      </c>
      <c r="D194" s="3">
        <v>15</v>
      </c>
      <c r="E194" s="4" t="s">
        <v>2197</v>
      </c>
    </row>
    <row r="195" ht="15.75" spans="1:5">
      <c r="A195" t="str">
        <f t="shared" si="4"/>
        <v>美森CLX正班卡派SMF6</v>
      </c>
      <c r="B195" s="3" t="s">
        <v>80</v>
      </c>
      <c r="C195" s="3" t="s">
        <v>329</v>
      </c>
      <c r="D195" s="3">
        <v>15</v>
      </c>
      <c r="E195" s="4" t="s">
        <v>2197</v>
      </c>
    </row>
    <row r="196" ht="15.75" spans="1:5">
      <c r="A196" t="str">
        <f t="shared" si="4"/>
        <v>美森CLX正班卡派OAK3</v>
      </c>
      <c r="B196" s="3" t="s">
        <v>80</v>
      </c>
      <c r="C196" s="3" t="s">
        <v>345</v>
      </c>
      <c r="D196" s="3">
        <v>15</v>
      </c>
      <c r="E196" s="4" t="s">
        <v>2197</v>
      </c>
    </row>
    <row r="197" ht="15.75" spans="1:5">
      <c r="A197" t="str">
        <f t="shared" si="4"/>
        <v>美森CLX正班卡派SLC2</v>
      </c>
      <c r="B197" s="3" t="s">
        <v>80</v>
      </c>
      <c r="C197" s="3" t="s">
        <v>532</v>
      </c>
      <c r="D197" s="3">
        <v>17</v>
      </c>
      <c r="E197" s="4" t="s">
        <v>2198</v>
      </c>
    </row>
    <row r="198" ht="15.75" spans="1:5">
      <c r="A198" t="str">
        <f t="shared" si="4"/>
        <v>美森CLX正班卡派ABQ2</v>
      </c>
      <c r="B198" s="3" t="s">
        <v>80</v>
      </c>
      <c r="C198" s="3" t="s">
        <v>1313</v>
      </c>
      <c r="D198" s="3">
        <v>17</v>
      </c>
      <c r="E198" s="4" t="s">
        <v>2198</v>
      </c>
    </row>
    <row r="199" ht="15.75" spans="1:5">
      <c r="A199" t="str">
        <f t="shared" si="4"/>
        <v>美森CLX正班卡派FTW1</v>
      </c>
      <c r="B199" s="3" t="s">
        <v>80</v>
      </c>
      <c r="C199" s="3" t="s">
        <v>614</v>
      </c>
      <c r="D199" s="3">
        <v>17</v>
      </c>
      <c r="E199" s="4" t="s">
        <v>2199</v>
      </c>
    </row>
    <row r="200" ht="15.75" spans="1:5">
      <c r="A200" t="str">
        <f t="shared" si="4"/>
        <v>美森CLX正班卡派DFW6</v>
      </c>
      <c r="B200" s="3" t="s">
        <v>80</v>
      </c>
      <c r="C200" s="3" t="s">
        <v>632</v>
      </c>
      <c r="D200" s="3">
        <v>17</v>
      </c>
      <c r="E200" s="4" t="s">
        <v>2199</v>
      </c>
    </row>
    <row r="201" ht="15.75" spans="1:5">
      <c r="A201" t="str">
        <f t="shared" si="4"/>
        <v>美森CLX正班卡派IUSF</v>
      </c>
      <c r="B201" s="3" t="s">
        <v>80</v>
      </c>
      <c r="C201" s="3" t="s">
        <v>1370</v>
      </c>
      <c r="D201" s="3">
        <v>17</v>
      </c>
      <c r="E201" s="4" t="s">
        <v>2199</v>
      </c>
    </row>
    <row r="202" ht="15.75" spans="1:5">
      <c r="A202" t="str">
        <f t="shared" si="4"/>
        <v>美森CLX正班卡派SAT1</v>
      </c>
      <c r="B202" s="3" t="s">
        <v>80</v>
      </c>
      <c r="C202" s="3" t="s">
        <v>564</v>
      </c>
      <c r="D202" s="3">
        <v>17</v>
      </c>
      <c r="E202" s="4" t="s">
        <v>2199</v>
      </c>
    </row>
    <row r="203" ht="15.75" spans="1:5">
      <c r="A203" t="str">
        <f t="shared" si="4"/>
        <v>美森CLX正班卡派SAT4</v>
      </c>
      <c r="B203" s="3" t="s">
        <v>80</v>
      </c>
      <c r="C203" s="3" t="s">
        <v>560</v>
      </c>
      <c r="D203" s="3">
        <v>17</v>
      </c>
      <c r="E203" s="4" t="s">
        <v>2199</v>
      </c>
    </row>
    <row r="204" ht="15.75" spans="1:5">
      <c r="A204" t="str">
        <f t="shared" si="4"/>
        <v>美森CLX正班卡派FTW5</v>
      </c>
      <c r="B204" s="3" t="s">
        <v>80</v>
      </c>
      <c r="C204" s="3" t="s">
        <v>625</v>
      </c>
      <c r="D204" s="3">
        <v>17</v>
      </c>
      <c r="E204" s="4" t="s">
        <v>2199</v>
      </c>
    </row>
    <row r="205" ht="15.75" spans="1:5">
      <c r="A205" t="str">
        <f t="shared" si="4"/>
        <v>美森CLX正班卡派IAH3</v>
      </c>
      <c r="B205" s="3" t="s">
        <v>80</v>
      </c>
      <c r="C205" s="3" t="s">
        <v>1266</v>
      </c>
      <c r="D205" s="3">
        <v>17</v>
      </c>
      <c r="E205" s="4" t="s">
        <v>2199</v>
      </c>
    </row>
    <row r="206" ht="15.75" spans="1:5">
      <c r="A206" t="str">
        <f t="shared" si="4"/>
        <v>美森CLX正班卡派HOU8</v>
      </c>
      <c r="B206" s="3" t="s">
        <v>80</v>
      </c>
      <c r="C206" s="3" t="s">
        <v>568</v>
      </c>
      <c r="D206" s="3">
        <v>17</v>
      </c>
      <c r="E206" s="4" t="s">
        <v>2199</v>
      </c>
    </row>
    <row r="207" ht="15.75" spans="1:5">
      <c r="A207" t="str">
        <f t="shared" si="4"/>
        <v>美森CLX正班卡派AMA1</v>
      </c>
      <c r="B207" s="3" t="s">
        <v>80</v>
      </c>
      <c r="C207" s="3" t="s">
        <v>1252</v>
      </c>
      <c r="D207" s="3">
        <v>17</v>
      </c>
      <c r="E207" s="4" t="s">
        <v>2199</v>
      </c>
    </row>
    <row r="208" ht="15.75" spans="1:5">
      <c r="A208" t="str">
        <f t="shared" si="4"/>
        <v>美森CLX正班卡派DEN2</v>
      </c>
      <c r="B208" s="3" t="s">
        <v>80</v>
      </c>
      <c r="C208" s="3" t="s">
        <v>541</v>
      </c>
      <c r="D208" s="3">
        <v>17</v>
      </c>
      <c r="E208" s="4" t="s">
        <v>2200</v>
      </c>
    </row>
    <row r="209" ht="15.75" spans="1:5">
      <c r="A209" t="str">
        <f t="shared" si="4"/>
        <v>美森CLX正班卡派DEN8</v>
      </c>
      <c r="B209" s="3" t="s">
        <v>80</v>
      </c>
      <c r="C209" s="3" t="s">
        <v>548</v>
      </c>
      <c r="D209" s="3">
        <v>17</v>
      </c>
      <c r="E209" s="4" t="s">
        <v>2200</v>
      </c>
    </row>
    <row r="210" ht="15.75" spans="1:5">
      <c r="A210" t="str">
        <f t="shared" si="4"/>
        <v>美森CLX正班卡派PSC2</v>
      </c>
      <c r="B210" s="3" t="s">
        <v>80</v>
      </c>
      <c r="C210" s="3" t="s">
        <v>1326</v>
      </c>
      <c r="D210" s="3">
        <v>17</v>
      </c>
      <c r="E210" s="4" t="s">
        <v>2200</v>
      </c>
    </row>
    <row r="211" ht="15.75" spans="1:5">
      <c r="A211" t="str">
        <f t="shared" si="4"/>
        <v>美森CLX正班卡派BFI3</v>
      </c>
      <c r="B211" s="3" t="s">
        <v>80</v>
      </c>
      <c r="C211" s="3" t="s">
        <v>298</v>
      </c>
      <c r="D211" s="3">
        <v>17</v>
      </c>
      <c r="E211" s="4" t="s">
        <v>2200</v>
      </c>
    </row>
    <row r="212" ht="15.75" spans="1:5">
      <c r="A212" t="str">
        <f t="shared" si="4"/>
        <v>美森CLX正班卡派GEG2</v>
      </c>
      <c r="B212" s="3" t="s">
        <v>80</v>
      </c>
      <c r="C212" s="3" t="s">
        <v>287</v>
      </c>
      <c r="D212" s="3">
        <v>17</v>
      </c>
      <c r="E212" s="4" t="s">
        <v>2200</v>
      </c>
    </row>
    <row r="213" ht="15.75" spans="1:5">
      <c r="A213" t="str">
        <f t="shared" si="4"/>
        <v>美森CLX正班卡派IND9</v>
      </c>
      <c r="B213" s="3" t="s">
        <v>80</v>
      </c>
      <c r="C213" s="3" t="s">
        <v>803</v>
      </c>
      <c r="D213" s="3">
        <v>17</v>
      </c>
      <c r="E213" s="4" t="s">
        <v>2201</v>
      </c>
    </row>
    <row r="214" ht="15.75" spans="1:5">
      <c r="A214" t="str">
        <f t="shared" si="4"/>
        <v>美森CLX正班卡派MQJ1</v>
      </c>
      <c r="B214" s="3" t="s">
        <v>80</v>
      </c>
      <c r="C214" s="3" t="s">
        <v>807</v>
      </c>
      <c r="D214" s="3">
        <v>17</v>
      </c>
      <c r="E214" s="4" t="s">
        <v>2201</v>
      </c>
    </row>
    <row r="215" ht="15.75" spans="1:5">
      <c r="A215" t="str">
        <f t="shared" si="4"/>
        <v>美森CLX正班卡派MDW2</v>
      </c>
      <c r="B215" s="3" t="s">
        <v>80</v>
      </c>
      <c r="C215" s="3" t="s">
        <v>718</v>
      </c>
      <c r="D215" s="3">
        <v>17</v>
      </c>
      <c r="E215" s="4" t="s">
        <v>2201</v>
      </c>
    </row>
    <row r="216" ht="15.75" spans="1:5">
      <c r="A216" t="str">
        <f t="shared" si="4"/>
        <v>美森CLX正班卡派FWA4</v>
      </c>
      <c r="B216" s="3" t="s">
        <v>80</v>
      </c>
      <c r="C216" s="3" t="s">
        <v>783</v>
      </c>
      <c r="D216" s="3">
        <v>17</v>
      </c>
      <c r="E216" s="4" t="s">
        <v>2201</v>
      </c>
    </row>
    <row r="217" ht="15.75" spans="1:5">
      <c r="A217" t="str">
        <f t="shared" si="4"/>
        <v>美森CLX正班卡派MEM1</v>
      </c>
      <c r="B217" s="3" t="s">
        <v>80</v>
      </c>
      <c r="C217" s="3" t="s">
        <v>911</v>
      </c>
      <c r="D217" s="3">
        <v>17</v>
      </c>
      <c r="E217" s="4" t="s">
        <v>2201</v>
      </c>
    </row>
    <row r="218" ht="15.75" spans="1:5">
      <c r="A218" t="str">
        <f t="shared" si="4"/>
        <v>美森CLX正班卡派RFD2</v>
      </c>
      <c r="B218" s="3" t="s">
        <v>80</v>
      </c>
      <c r="C218" s="3" t="s">
        <v>1379</v>
      </c>
      <c r="D218" s="3">
        <v>17</v>
      </c>
      <c r="E218" s="4" t="s">
        <v>2201</v>
      </c>
    </row>
    <row r="219" ht="15.75" spans="1:5">
      <c r="A219" t="str">
        <f t="shared" si="4"/>
        <v>美森CLX正班卡派CLT2</v>
      </c>
      <c r="B219" s="3" t="s">
        <v>80</v>
      </c>
      <c r="C219" s="3" t="s">
        <v>1045</v>
      </c>
      <c r="D219" s="3">
        <v>18</v>
      </c>
      <c r="E219" s="4" t="s">
        <v>2202</v>
      </c>
    </row>
    <row r="220" ht="15.75" spans="1:5">
      <c r="A220" t="str">
        <f t="shared" ref="A220:A230" si="5">B220&amp;C220</f>
        <v>美森CLX正班卡派RDU4</v>
      </c>
      <c r="B220" s="3" t="s">
        <v>80</v>
      </c>
      <c r="C220" s="3" t="s">
        <v>1297</v>
      </c>
      <c r="D220" s="3">
        <v>18</v>
      </c>
      <c r="E220" s="4" t="s">
        <v>2202</v>
      </c>
    </row>
    <row r="221" ht="15.75" spans="1:5">
      <c r="A221" t="str">
        <f t="shared" si="5"/>
        <v>美森CLX正班卡派RDU2</v>
      </c>
      <c r="B221" s="3" t="s">
        <v>80</v>
      </c>
      <c r="C221" s="3" t="s">
        <v>1273</v>
      </c>
      <c r="D221" s="3">
        <v>18</v>
      </c>
      <c r="E221" s="4" t="s">
        <v>2202</v>
      </c>
    </row>
    <row r="222" ht="15.75" spans="1:5">
      <c r="A222" t="str">
        <f t="shared" si="5"/>
        <v>美森CLX正班卡派LAN2</v>
      </c>
      <c r="B222" s="3" t="s">
        <v>80</v>
      </c>
      <c r="C222" s="3" t="s">
        <v>1305</v>
      </c>
      <c r="D222" s="3">
        <v>18</v>
      </c>
      <c r="E222" s="4" t="s">
        <v>2202</v>
      </c>
    </row>
    <row r="223" ht="15.75" spans="1:5">
      <c r="A223" t="str">
        <f t="shared" si="5"/>
        <v>美森CLX正班卡派BNA6</v>
      </c>
      <c r="B223" s="3" t="s">
        <v>80</v>
      </c>
      <c r="C223" s="3" t="s">
        <v>1322</v>
      </c>
      <c r="D223" s="3">
        <v>18</v>
      </c>
      <c r="E223" s="4" t="s">
        <v>2202</v>
      </c>
    </row>
    <row r="224" ht="15.75" spans="1:5">
      <c r="A224" t="str">
        <f t="shared" si="5"/>
        <v>美森CLX正班卡派AVP1</v>
      </c>
      <c r="B224" s="3" t="s">
        <v>80</v>
      </c>
      <c r="C224" s="3" t="s">
        <v>1153</v>
      </c>
      <c r="D224" s="3">
        <v>18</v>
      </c>
      <c r="E224" s="4" t="s">
        <v>2203</v>
      </c>
    </row>
    <row r="225" ht="15.75" spans="1:5">
      <c r="A225" t="str">
        <f t="shared" si="5"/>
        <v>美森CLX正班卡派ORF2</v>
      </c>
      <c r="B225" s="3" t="s">
        <v>80</v>
      </c>
      <c r="C225" s="3" t="s">
        <v>1277</v>
      </c>
      <c r="D225" s="3">
        <v>18</v>
      </c>
      <c r="E225" s="4" t="s">
        <v>2203</v>
      </c>
    </row>
    <row r="226" ht="15.75" spans="1:5">
      <c r="A226" t="str">
        <f t="shared" si="5"/>
        <v>美森CLX正班卡派SWF2</v>
      </c>
      <c r="B226" s="3" t="s">
        <v>80</v>
      </c>
      <c r="C226" s="3" t="s">
        <v>1260</v>
      </c>
      <c r="D226" s="3">
        <v>18</v>
      </c>
      <c r="E226" s="4" t="s">
        <v>2203</v>
      </c>
    </row>
    <row r="227" ht="15.75" spans="1:5">
      <c r="A227" t="str">
        <f t="shared" si="5"/>
        <v>美森CLX正班卡派ABE8</v>
      </c>
      <c r="B227" s="3" t="s">
        <v>80</v>
      </c>
      <c r="C227" s="3" t="s">
        <v>208</v>
      </c>
      <c r="D227" s="3">
        <v>18</v>
      </c>
      <c r="E227" s="4" t="s">
        <v>2203</v>
      </c>
    </row>
    <row r="228" ht="15.75" spans="1:5">
      <c r="A228" t="str">
        <f t="shared" si="5"/>
        <v>美森CLX正班卡派TEB9</v>
      </c>
      <c r="B228" s="3" t="s">
        <v>80</v>
      </c>
      <c r="C228" s="3" t="s">
        <v>182</v>
      </c>
      <c r="D228" s="3">
        <v>18</v>
      </c>
      <c r="E228" s="4" t="s">
        <v>2203</v>
      </c>
    </row>
    <row r="229" ht="15.75" spans="1:5">
      <c r="A229" t="str">
        <f t="shared" si="5"/>
        <v>美森CLX正班卡派TPA3</v>
      </c>
      <c r="B229" s="3" t="s">
        <v>80</v>
      </c>
      <c r="C229" s="3" t="s">
        <v>953</v>
      </c>
      <c r="D229" s="3">
        <v>18</v>
      </c>
      <c r="E229" s="4" t="s">
        <v>2203</v>
      </c>
    </row>
    <row r="230" ht="15.75" spans="1:5">
      <c r="A230" t="str">
        <f t="shared" si="5"/>
        <v>美森CLX正班卡派RMN3</v>
      </c>
      <c r="B230" s="3" t="s">
        <v>80</v>
      </c>
      <c r="C230" s="3" t="s">
        <v>1281</v>
      </c>
      <c r="D230" s="3">
        <v>18</v>
      </c>
      <c r="E230" s="4" t="s">
        <v>2203</v>
      </c>
    </row>
    <row r="232" ht="33.75" spans="1:5">
      <c r="B232" s="1" t="s">
        <v>2190</v>
      </c>
      <c r="C232" s="1" t="s">
        <v>170</v>
      </c>
      <c r="D232" s="1" t="s">
        <v>2191</v>
      </c>
      <c r="E232" s="2" t="s">
        <v>2192</v>
      </c>
    </row>
    <row r="233" ht="15.75" spans="1:5">
      <c r="A233" t="str">
        <f t="shared" ref="A233:A296" si="6">B233&amp;C233</f>
        <v>美森加班卡派ONT8</v>
      </c>
      <c r="B233" s="3" t="s">
        <v>82</v>
      </c>
      <c r="C233" s="3" t="s">
        <v>395</v>
      </c>
      <c r="D233" s="3">
        <v>15</v>
      </c>
      <c r="E233" s="4" t="s">
        <v>2193</v>
      </c>
    </row>
    <row r="234" ht="15.75" spans="1:5">
      <c r="A234" t="str">
        <f t="shared" si="6"/>
        <v>美森加班卡派LGB8</v>
      </c>
      <c r="B234" s="3" t="s">
        <v>82</v>
      </c>
      <c r="C234" s="3" t="s">
        <v>419</v>
      </c>
      <c r="D234" s="3">
        <v>15</v>
      </c>
      <c r="E234" s="4" t="s">
        <v>2193</v>
      </c>
    </row>
    <row r="235" ht="15.75" spans="1:5">
      <c r="A235" t="str">
        <f t="shared" si="6"/>
        <v>美森加班卡派LAX9</v>
      </c>
      <c r="B235" s="3" t="s">
        <v>82</v>
      </c>
      <c r="C235" s="3" t="s">
        <v>433</v>
      </c>
      <c r="D235" s="3">
        <v>15</v>
      </c>
      <c r="E235" s="4" t="s">
        <v>2193</v>
      </c>
    </row>
    <row r="236" ht="15.75" spans="1:5">
      <c r="A236" t="str">
        <f t="shared" si="6"/>
        <v>美森加班卡派SBD1</v>
      </c>
      <c r="B236" s="3" t="s">
        <v>82</v>
      </c>
      <c r="C236" s="3" t="s">
        <v>440</v>
      </c>
      <c r="D236" s="3">
        <v>15</v>
      </c>
      <c r="E236" s="4" t="s">
        <v>2193</v>
      </c>
    </row>
    <row r="237" ht="15.75" spans="1:5">
      <c r="A237" t="str">
        <f t="shared" si="6"/>
        <v>美森加班卡派POC1</v>
      </c>
      <c r="B237" s="3" t="s">
        <v>82</v>
      </c>
      <c r="C237" s="3" t="s">
        <v>1407</v>
      </c>
      <c r="D237" s="3">
        <v>15</v>
      </c>
      <c r="E237" s="4" t="s">
        <v>2193</v>
      </c>
    </row>
    <row r="238" ht="15.75" spans="1:5">
      <c r="A238" t="str">
        <f t="shared" si="6"/>
        <v>美森加班卡派POC2</v>
      </c>
      <c r="B238" s="3" t="s">
        <v>82</v>
      </c>
      <c r="C238" s="3" t="s">
        <v>1456</v>
      </c>
      <c r="D238" s="3">
        <v>15</v>
      </c>
      <c r="E238" s="4" t="s">
        <v>2193</v>
      </c>
    </row>
    <row r="239" ht="15.75" spans="1:5">
      <c r="A239" t="str">
        <f t="shared" si="6"/>
        <v>美森加班卡派POC3</v>
      </c>
      <c r="B239" s="3" t="s">
        <v>82</v>
      </c>
      <c r="C239" s="3" t="s">
        <v>1410</v>
      </c>
      <c r="D239" s="3">
        <v>15</v>
      </c>
      <c r="E239" s="4" t="s">
        <v>2193</v>
      </c>
    </row>
    <row r="240" ht="15.75" spans="1:5">
      <c r="A240" t="str">
        <f t="shared" si="6"/>
        <v>美森加班卡派IUSP</v>
      </c>
      <c r="B240" s="3" t="s">
        <v>82</v>
      </c>
      <c r="C240" s="3" t="s">
        <v>1393</v>
      </c>
      <c r="D240" s="3">
        <v>15</v>
      </c>
      <c r="E240" s="4" t="s">
        <v>2194</v>
      </c>
    </row>
    <row r="241" ht="15.75" spans="1:5">
      <c r="A241" t="str">
        <f t="shared" si="6"/>
        <v>美森加班卡派IUSQ</v>
      </c>
      <c r="B241" s="3" t="s">
        <v>82</v>
      </c>
      <c r="C241" s="3" t="s">
        <v>1361</v>
      </c>
      <c r="D241" s="3">
        <v>15</v>
      </c>
      <c r="E241" s="4" t="s">
        <v>2194</v>
      </c>
    </row>
    <row r="242" ht="15.75" spans="1:5">
      <c r="A242" t="str">
        <f t="shared" si="6"/>
        <v>美森加班卡派IUSJ</v>
      </c>
      <c r="B242" s="3" t="s">
        <v>82</v>
      </c>
      <c r="C242" s="3" t="s">
        <v>1264</v>
      </c>
      <c r="D242" s="3">
        <v>15</v>
      </c>
      <c r="E242" s="4" t="s">
        <v>2194</v>
      </c>
    </row>
    <row r="243" ht="15.75" spans="1:5">
      <c r="A243" t="str">
        <f t="shared" si="6"/>
        <v>美森加班卡派IUTI</v>
      </c>
      <c r="B243" s="3" t="s">
        <v>82</v>
      </c>
      <c r="C243" s="3" t="s">
        <v>1466</v>
      </c>
      <c r="D243" s="3">
        <v>15</v>
      </c>
      <c r="E243" s="4" t="s">
        <v>2194</v>
      </c>
    </row>
    <row r="244" ht="15.75" spans="1:5">
      <c r="A244" t="str">
        <f t="shared" si="6"/>
        <v>美森加班卡派IUSW</v>
      </c>
      <c r="B244" s="3" t="s">
        <v>82</v>
      </c>
      <c r="C244" s="3" t="s">
        <v>1468</v>
      </c>
      <c r="D244" s="3">
        <v>15</v>
      </c>
      <c r="E244" s="4" t="s">
        <v>2194</v>
      </c>
    </row>
    <row r="245" ht="15.75" spans="1:5">
      <c r="A245" t="str">
        <f t="shared" si="6"/>
        <v>美森加班卡派SNA4</v>
      </c>
      <c r="B245" s="3" t="s">
        <v>82</v>
      </c>
      <c r="C245" s="3" t="s">
        <v>415</v>
      </c>
      <c r="D245" s="3">
        <v>15</v>
      </c>
      <c r="E245" s="4" t="s">
        <v>2194</v>
      </c>
    </row>
    <row r="246" ht="15.75" spans="1:5">
      <c r="A246" t="str">
        <f t="shared" si="6"/>
        <v>美森加班卡派SBD2</v>
      </c>
      <c r="B246" s="3" t="s">
        <v>82</v>
      </c>
      <c r="C246" s="3" t="s">
        <v>405</v>
      </c>
      <c r="D246" s="3">
        <v>15</v>
      </c>
      <c r="E246" s="4" t="s">
        <v>2194</v>
      </c>
    </row>
    <row r="247" ht="15.75" spans="1:5">
      <c r="A247" t="str">
        <f t="shared" si="6"/>
        <v>美森加班卡派LGB4</v>
      </c>
      <c r="B247" s="3" t="s">
        <v>82</v>
      </c>
      <c r="C247" s="3" t="s">
        <v>431</v>
      </c>
      <c r="D247" s="3">
        <v>15</v>
      </c>
      <c r="E247" s="4" t="s">
        <v>2194</v>
      </c>
    </row>
    <row r="248" ht="15.75" spans="1:5">
      <c r="A248" t="str">
        <f t="shared" si="6"/>
        <v>美森加班卡派LGB6</v>
      </c>
      <c r="B248" s="3" t="s">
        <v>82</v>
      </c>
      <c r="C248" s="3" t="s">
        <v>397</v>
      </c>
      <c r="D248" s="3">
        <v>15</v>
      </c>
      <c r="E248" s="4" t="s">
        <v>2194</v>
      </c>
    </row>
    <row r="249" ht="15.75" spans="1:5">
      <c r="A249" t="str">
        <f t="shared" si="6"/>
        <v>美森加班卡派LGB9</v>
      </c>
      <c r="B249" s="3" t="s">
        <v>82</v>
      </c>
      <c r="C249" s="3" t="s">
        <v>388</v>
      </c>
      <c r="D249" s="3">
        <v>15</v>
      </c>
      <c r="E249" s="4" t="s">
        <v>2194</v>
      </c>
    </row>
    <row r="250" ht="15.75" spans="1:5">
      <c r="A250" t="str">
        <f t="shared" si="6"/>
        <v>美森加班卡派XLX7</v>
      </c>
      <c r="B250" s="3" t="s">
        <v>82</v>
      </c>
      <c r="C250" s="3" t="s">
        <v>2195</v>
      </c>
      <c r="D250" s="3">
        <v>15</v>
      </c>
      <c r="E250" s="4" t="s">
        <v>2194</v>
      </c>
    </row>
    <row r="251" ht="15.75" spans="1:5">
      <c r="A251" t="str">
        <f t="shared" si="6"/>
        <v>美森加班卡派GYR2</v>
      </c>
      <c r="B251" s="3" t="s">
        <v>82</v>
      </c>
      <c r="C251" s="3" t="s">
        <v>499</v>
      </c>
      <c r="D251" s="3">
        <v>15</v>
      </c>
      <c r="E251" s="4" t="s">
        <v>2196</v>
      </c>
    </row>
    <row r="252" ht="15.75" spans="1:5">
      <c r="A252" t="str">
        <f t="shared" si="6"/>
        <v>美森加班卡派GYR3</v>
      </c>
      <c r="B252" s="3" t="s">
        <v>82</v>
      </c>
      <c r="C252" s="3" t="s">
        <v>513</v>
      </c>
      <c r="D252" s="3">
        <v>15</v>
      </c>
      <c r="E252" s="4" t="s">
        <v>2196</v>
      </c>
    </row>
    <row r="253" ht="15.75" spans="1:5">
      <c r="A253" t="str">
        <f t="shared" si="6"/>
        <v>美森加班卡派TCY1</v>
      </c>
      <c r="B253" s="3" t="s">
        <v>82</v>
      </c>
      <c r="C253" s="3" t="s">
        <v>1445</v>
      </c>
      <c r="D253" s="3">
        <v>15</v>
      </c>
      <c r="E253" s="4" t="s">
        <v>2196</v>
      </c>
    </row>
    <row r="254" ht="15.75" spans="1:5">
      <c r="A254" t="str">
        <f t="shared" si="6"/>
        <v>美森加班卡派TCY2</v>
      </c>
      <c r="B254" s="3" t="s">
        <v>82</v>
      </c>
      <c r="C254" s="3" t="s">
        <v>1443</v>
      </c>
      <c r="D254" s="3">
        <v>15</v>
      </c>
      <c r="E254" s="4" t="s">
        <v>2196</v>
      </c>
    </row>
    <row r="255" ht="15.75" spans="1:5">
      <c r="A255" t="str">
        <f t="shared" si="6"/>
        <v>美森加班卡派HLI2</v>
      </c>
      <c r="B255" s="3" t="s">
        <v>82</v>
      </c>
      <c r="C255" s="3" t="s">
        <v>1439</v>
      </c>
      <c r="D255" s="3">
        <v>15</v>
      </c>
      <c r="E255" s="4" t="s">
        <v>2196</v>
      </c>
    </row>
    <row r="256" ht="15.75" spans="1:5">
      <c r="A256" t="str">
        <f t="shared" si="6"/>
        <v>美森加班卡派MIT2</v>
      </c>
      <c r="B256" s="3" t="s">
        <v>82</v>
      </c>
      <c r="C256" s="3" t="s">
        <v>1350</v>
      </c>
      <c r="D256" s="3">
        <v>15</v>
      </c>
      <c r="E256" s="4" t="s">
        <v>2196</v>
      </c>
    </row>
    <row r="257" ht="15.75" spans="1:5">
      <c r="A257" t="str">
        <f t="shared" si="6"/>
        <v>美森加班卡派GEU2</v>
      </c>
      <c r="B257" s="3" t="s">
        <v>82</v>
      </c>
      <c r="C257" s="3" t="s">
        <v>1366</v>
      </c>
      <c r="D257" s="3">
        <v>15</v>
      </c>
      <c r="E257" s="4" t="s">
        <v>2196</v>
      </c>
    </row>
    <row r="258" ht="15.75" spans="1:5">
      <c r="A258" t="str">
        <f t="shared" si="6"/>
        <v>美森加班卡派GEU3</v>
      </c>
      <c r="B258" s="3" t="s">
        <v>82</v>
      </c>
      <c r="C258" s="3" t="s">
        <v>1353</v>
      </c>
      <c r="D258" s="3">
        <v>15</v>
      </c>
      <c r="E258" s="4" t="s">
        <v>2196</v>
      </c>
    </row>
    <row r="259" ht="15.75" spans="1:5">
      <c r="A259" t="str">
        <f t="shared" si="6"/>
        <v>美森加班卡派GEU5</v>
      </c>
      <c r="B259" s="3" t="s">
        <v>82</v>
      </c>
      <c r="C259" s="3" t="s">
        <v>1364</v>
      </c>
      <c r="D259" s="3">
        <v>15</v>
      </c>
      <c r="E259" s="4" t="s">
        <v>2196</v>
      </c>
    </row>
    <row r="260" ht="15.75" spans="1:5">
      <c r="A260" t="str">
        <f t="shared" si="6"/>
        <v>美森加班卡派LAS1</v>
      </c>
      <c r="B260" s="3" t="s">
        <v>82</v>
      </c>
      <c r="C260" s="3" t="s">
        <v>485</v>
      </c>
      <c r="D260" s="3">
        <v>15</v>
      </c>
      <c r="E260" s="4" t="s">
        <v>2196</v>
      </c>
    </row>
    <row r="261" ht="15.75" spans="1:5">
      <c r="A261" t="str">
        <f t="shared" si="6"/>
        <v>美森加班卡派VGT2</v>
      </c>
      <c r="B261" s="3" t="s">
        <v>82</v>
      </c>
      <c r="C261" s="3" t="s">
        <v>1242</v>
      </c>
      <c r="D261" s="3">
        <v>15</v>
      </c>
      <c r="E261" s="4" t="s">
        <v>2196</v>
      </c>
    </row>
    <row r="262" ht="15.75" spans="1:5">
      <c r="A262" t="str">
        <f t="shared" si="6"/>
        <v>美森加班卡派SMF3</v>
      </c>
      <c r="B262" s="3" t="s">
        <v>82</v>
      </c>
      <c r="C262" s="3" t="s">
        <v>362</v>
      </c>
      <c r="D262" s="3">
        <v>15</v>
      </c>
      <c r="E262" s="4" t="s">
        <v>2196</v>
      </c>
    </row>
    <row r="263" ht="15.75" spans="1:5">
      <c r="A263" t="str">
        <f t="shared" si="6"/>
        <v>美森加班卡派SCK4</v>
      </c>
      <c r="B263" s="3" t="s">
        <v>82</v>
      </c>
      <c r="C263" s="3" t="s">
        <v>360</v>
      </c>
      <c r="D263" s="3">
        <v>15</v>
      </c>
      <c r="E263" s="4" t="s">
        <v>2196</v>
      </c>
    </row>
    <row r="264" ht="15.75" spans="1:5">
      <c r="A264" t="str">
        <f t="shared" si="6"/>
        <v>美森加班卡派IUTE</v>
      </c>
      <c r="B264" s="3" t="s">
        <v>82</v>
      </c>
      <c r="C264" s="3" t="s">
        <v>1471</v>
      </c>
      <c r="D264" s="3">
        <v>15</v>
      </c>
      <c r="E264" s="4" t="s">
        <v>2196</v>
      </c>
    </row>
    <row r="265" ht="15.75" spans="1:5">
      <c r="A265" t="str">
        <f t="shared" si="6"/>
        <v>美森加班卡派QXY8</v>
      </c>
      <c r="B265" s="3" t="s">
        <v>82</v>
      </c>
      <c r="C265" s="3" t="s">
        <v>1555</v>
      </c>
      <c r="D265" s="3">
        <v>15</v>
      </c>
      <c r="E265" s="4" t="s">
        <v>2196</v>
      </c>
    </row>
    <row r="266" ht="15.75" spans="1:5">
      <c r="A266" t="str">
        <f t="shared" si="6"/>
        <v>美森加班卡派SCK8</v>
      </c>
      <c r="B266" s="3" t="s">
        <v>82</v>
      </c>
      <c r="C266" s="3" t="s">
        <v>1270</v>
      </c>
      <c r="D266" s="3">
        <v>15</v>
      </c>
      <c r="E266" s="4" t="s">
        <v>2197</v>
      </c>
    </row>
    <row r="267" ht="15.75" spans="1:5">
      <c r="A267" t="str">
        <f t="shared" si="6"/>
        <v>美森加班卡派FAT2</v>
      </c>
      <c r="B267" s="3" t="s">
        <v>82</v>
      </c>
      <c r="C267" s="3" t="s">
        <v>380</v>
      </c>
      <c r="D267" s="3">
        <v>15</v>
      </c>
      <c r="E267" s="4" t="s">
        <v>2197</v>
      </c>
    </row>
    <row r="268" ht="15.75" spans="1:5">
      <c r="A268" t="str">
        <f t="shared" si="6"/>
        <v>美森加班卡派LAS6</v>
      </c>
      <c r="B268" s="3" t="s">
        <v>82</v>
      </c>
      <c r="C268" s="3" t="s">
        <v>474</v>
      </c>
      <c r="D268" s="3">
        <v>15</v>
      </c>
      <c r="E268" s="4" t="s">
        <v>2197</v>
      </c>
    </row>
    <row r="269" ht="15.75" spans="1:5">
      <c r="A269" t="str">
        <f t="shared" si="6"/>
        <v>美森加班卡派MCE1</v>
      </c>
      <c r="B269" s="3" t="s">
        <v>82</v>
      </c>
      <c r="C269" s="3" t="s">
        <v>1238</v>
      </c>
      <c r="D269" s="3">
        <v>15</v>
      </c>
      <c r="E269" s="4" t="s">
        <v>2197</v>
      </c>
    </row>
    <row r="270" ht="15.75" spans="1:5">
      <c r="A270" t="str">
        <f t="shared" si="6"/>
        <v>美森加班卡派PHX5</v>
      </c>
      <c r="B270" s="3" t="s">
        <v>82</v>
      </c>
      <c r="C270" s="3" t="s">
        <v>506</v>
      </c>
      <c r="D270" s="3">
        <v>15</v>
      </c>
      <c r="E270" s="4" t="s">
        <v>2197</v>
      </c>
    </row>
    <row r="271" ht="15.75" spans="1:5">
      <c r="A271" t="str">
        <f t="shared" si="6"/>
        <v>美森加班卡派PHX7</v>
      </c>
      <c r="B271" s="3" t="s">
        <v>82</v>
      </c>
      <c r="C271" s="3" t="s">
        <v>522</v>
      </c>
      <c r="D271" s="3">
        <v>15</v>
      </c>
      <c r="E271" s="4" t="s">
        <v>2197</v>
      </c>
    </row>
    <row r="272" ht="15.75" spans="1:5">
      <c r="A272" t="str">
        <f t="shared" si="6"/>
        <v>美森加班卡派SMF6</v>
      </c>
      <c r="B272" s="3" t="s">
        <v>82</v>
      </c>
      <c r="C272" s="3" t="s">
        <v>329</v>
      </c>
      <c r="D272" s="3">
        <v>15</v>
      </c>
      <c r="E272" s="4" t="s">
        <v>2197</v>
      </c>
    </row>
    <row r="273" ht="15.75" spans="1:5">
      <c r="A273" t="str">
        <f t="shared" si="6"/>
        <v>美森加班卡派OAK3</v>
      </c>
      <c r="B273" s="3" t="s">
        <v>82</v>
      </c>
      <c r="C273" s="3" t="s">
        <v>345</v>
      </c>
      <c r="D273" s="3">
        <v>15</v>
      </c>
      <c r="E273" s="4" t="s">
        <v>2197</v>
      </c>
    </row>
    <row r="274" ht="15.75" spans="1:5">
      <c r="A274" t="str">
        <f t="shared" si="6"/>
        <v>美森加班卡派SLC2</v>
      </c>
      <c r="B274" s="3" t="s">
        <v>82</v>
      </c>
      <c r="C274" s="3" t="s">
        <v>532</v>
      </c>
      <c r="D274" s="3">
        <v>17</v>
      </c>
      <c r="E274" s="4" t="s">
        <v>2198</v>
      </c>
    </row>
    <row r="275" ht="15.75" spans="1:5">
      <c r="A275" t="str">
        <f t="shared" si="6"/>
        <v>美森加班卡派ABQ2</v>
      </c>
      <c r="B275" s="3" t="s">
        <v>82</v>
      </c>
      <c r="C275" s="3" t="s">
        <v>1313</v>
      </c>
      <c r="D275" s="3">
        <v>17</v>
      </c>
      <c r="E275" s="4" t="s">
        <v>2198</v>
      </c>
    </row>
    <row r="276" ht="15.75" spans="1:5">
      <c r="A276" t="str">
        <f t="shared" si="6"/>
        <v>美森加班卡派FTW1</v>
      </c>
      <c r="B276" s="3" t="s">
        <v>82</v>
      </c>
      <c r="C276" s="3" t="s">
        <v>614</v>
      </c>
      <c r="D276" s="3">
        <v>17</v>
      </c>
      <c r="E276" s="4" t="s">
        <v>2199</v>
      </c>
    </row>
    <row r="277" ht="15.75" spans="1:5">
      <c r="A277" t="str">
        <f t="shared" si="6"/>
        <v>美森加班卡派DFW6</v>
      </c>
      <c r="B277" s="3" t="s">
        <v>82</v>
      </c>
      <c r="C277" s="3" t="s">
        <v>632</v>
      </c>
      <c r="D277" s="3">
        <v>17</v>
      </c>
      <c r="E277" s="4" t="s">
        <v>2199</v>
      </c>
    </row>
    <row r="278" ht="15.75" spans="1:5">
      <c r="A278" t="str">
        <f t="shared" si="6"/>
        <v>美森加班卡派IUSF</v>
      </c>
      <c r="B278" s="3" t="s">
        <v>82</v>
      </c>
      <c r="C278" s="3" t="s">
        <v>1370</v>
      </c>
      <c r="D278" s="3">
        <v>17</v>
      </c>
      <c r="E278" s="4" t="s">
        <v>2199</v>
      </c>
    </row>
    <row r="279" ht="15.75" spans="1:5">
      <c r="A279" t="str">
        <f t="shared" si="6"/>
        <v>美森加班卡派SAT1</v>
      </c>
      <c r="B279" s="3" t="s">
        <v>82</v>
      </c>
      <c r="C279" s="3" t="s">
        <v>564</v>
      </c>
      <c r="D279" s="3">
        <v>17</v>
      </c>
      <c r="E279" s="4" t="s">
        <v>2199</v>
      </c>
    </row>
    <row r="280" ht="15.75" spans="1:5">
      <c r="A280" t="str">
        <f t="shared" si="6"/>
        <v>美森加班卡派SAT4</v>
      </c>
      <c r="B280" s="3" t="s">
        <v>82</v>
      </c>
      <c r="C280" s="3" t="s">
        <v>560</v>
      </c>
      <c r="D280" s="3">
        <v>17</v>
      </c>
      <c r="E280" s="4" t="s">
        <v>2199</v>
      </c>
    </row>
    <row r="281" ht="15.75" spans="1:5">
      <c r="A281" t="str">
        <f t="shared" si="6"/>
        <v>美森加班卡派FTW5</v>
      </c>
      <c r="B281" s="3" t="s">
        <v>82</v>
      </c>
      <c r="C281" s="3" t="s">
        <v>625</v>
      </c>
      <c r="D281" s="3">
        <v>17</v>
      </c>
      <c r="E281" s="4" t="s">
        <v>2199</v>
      </c>
    </row>
    <row r="282" ht="15.75" spans="1:5">
      <c r="A282" t="str">
        <f t="shared" si="6"/>
        <v>美森加班卡派IAH3</v>
      </c>
      <c r="B282" s="3" t="s">
        <v>82</v>
      </c>
      <c r="C282" s="3" t="s">
        <v>1266</v>
      </c>
      <c r="D282" s="3">
        <v>17</v>
      </c>
      <c r="E282" s="4" t="s">
        <v>2199</v>
      </c>
    </row>
    <row r="283" ht="15.75" spans="1:5">
      <c r="A283" t="str">
        <f t="shared" si="6"/>
        <v>美森加班卡派HOU8</v>
      </c>
      <c r="B283" s="3" t="s">
        <v>82</v>
      </c>
      <c r="C283" s="3" t="s">
        <v>568</v>
      </c>
      <c r="D283" s="3">
        <v>17</v>
      </c>
      <c r="E283" s="4" t="s">
        <v>2199</v>
      </c>
    </row>
    <row r="284" ht="15.75" spans="1:5">
      <c r="A284" t="str">
        <f t="shared" si="6"/>
        <v>美森加班卡派AMA1</v>
      </c>
      <c r="B284" s="3" t="s">
        <v>82</v>
      </c>
      <c r="C284" s="3" t="s">
        <v>1252</v>
      </c>
      <c r="D284" s="3">
        <v>17</v>
      </c>
      <c r="E284" s="4" t="s">
        <v>2199</v>
      </c>
    </row>
    <row r="285" ht="15.75" spans="1:5">
      <c r="A285" t="str">
        <f t="shared" si="6"/>
        <v>美森加班卡派DEN2</v>
      </c>
      <c r="B285" s="3" t="s">
        <v>82</v>
      </c>
      <c r="C285" s="3" t="s">
        <v>541</v>
      </c>
      <c r="D285" s="3">
        <v>17</v>
      </c>
      <c r="E285" s="4" t="s">
        <v>2200</v>
      </c>
    </row>
    <row r="286" ht="15.75" spans="1:5">
      <c r="A286" t="str">
        <f t="shared" si="6"/>
        <v>美森加班卡派DEN8</v>
      </c>
      <c r="B286" s="3" t="s">
        <v>82</v>
      </c>
      <c r="C286" s="3" t="s">
        <v>548</v>
      </c>
      <c r="D286" s="3">
        <v>17</v>
      </c>
      <c r="E286" s="4" t="s">
        <v>2200</v>
      </c>
    </row>
    <row r="287" ht="15.75" spans="1:5">
      <c r="A287" t="str">
        <f t="shared" si="6"/>
        <v>美森加班卡派PSC2</v>
      </c>
      <c r="B287" s="3" t="s">
        <v>82</v>
      </c>
      <c r="C287" s="3" t="s">
        <v>1326</v>
      </c>
      <c r="D287" s="3">
        <v>17</v>
      </c>
      <c r="E287" s="4" t="s">
        <v>2200</v>
      </c>
    </row>
    <row r="288" ht="15.75" spans="1:5">
      <c r="A288" t="str">
        <f t="shared" si="6"/>
        <v>美森加班卡派BFI3</v>
      </c>
      <c r="B288" s="3" t="s">
        <v>82</v>
      </c>
      <c r="C288" s="3" t="s">
        <v>298</v>
      </c>
      <c r="D288" s="3">
        <v>17</v>
      </c>
      <c r="E288" s="4" t="s">
        <v>2200</v>
      </c>
    </row>
    <row r="289" ht="15.75" spans="1:5">
      <c r="A289" t="str">
        <f t="shared" si="6"/>
        <v>美森加班卡派GEG2</v>
      </c>
      <c r="B289" s="3" t="s">
        <v>82</v>
      </c>
      <c r="C289" s="3" t="s">
        <v>287</v>
      </c>
      <c r="D289" s="3">
        <v>17</v>
      </c>
      <c r="E289" s="4" t="s">
        <v>2200</v>
      </c>
    </row>
    <row r="290" ht="15.75" spans="1:5">
      <c r="A290" t="str">
        <f t="shared" si="6"/>
        <v>美森加班卡派IND9</v>
      </c>
      <c r="B290" s="3" t="s">
        <v>82</v>
      </c>
      <c r="C290" s="3" t="s">
        <v>803</v>
      </c>
      <c r="D290" s="3">
        <v>17</v>
      </c>
      <c r="E290" s="4" t="s">
        <v>2201</v>
      </c>
    </row>
    <row r="291" ht="15.75" spans="1:5">
      <c r="A291" t="str">
        <f t="shared" si="6"/>
        <v>美森加班卡派MQJ1</v>
      </c>
      <c r="B291" s="3" t="s">
        <v>82</v>
      </c>
      <c r="C291" s="3" t="s">
        <v>807</v>
      </c>
      <c r="D291" s="3">
        <v>17</v>
      </c>
      <c r="E291" s="4" t="s">
        <v>2201</v>
      </c>
    </row>
    <row r="292" ht="15.75" spans="1:5">
      <c r="A292" t="str">
        <f t="shared" si="6"/>
        <v>美森加班卡派MDW2</v>
      </c>
      <c r="B292" s="3" t="s">
        <v>82</v>
      </c>
      <c r="C292" s="3" t="s">
        <v>718</v>
      </c>
      <c r="D292" s="3">
        <v>17</v>
      </c>
      <c r="E292" s="4" t="s">
        <v>2201</v>
      </c>
    </row>
    <row r="293" ht="15.75" spans="1:5">
      <c r="A293" t="str">
        <f t="shared" si="6"/>
        <v>美森加班卡派FWA4</v>
      </c>
      <c r="B293" s="3" t="s">
        <v>82</v>
      </c>
      <c r="C293" s="3" t="s">
        <v>783</v>
      </c>
      <c r="D293" s="3">
        <v>17</v>
      </c>
      <c r="E293" s="4" t="s">
        <v>2201</v>
      </c>
    </row>
    <row r="294" ht="15.75" spans="1:5">
      <c r="A294" t="str">
        <f t="shared" si="6"/>
        <v>美森加班卡派MEM1</v>
      </c>
      <c r="B294" s="3" t="s">
        <v>82</v>
      </c>
      <c r="C294" s="3" t="s">
        <v>911</v>
      </c>
      <c r="D294" s="3">
        <v>17</v>
      </c>
      <c r="E294" s="4" t="s">
        <v>2201</v>
      </c>
    </row>
    <row r="295" ht="15.75" spans="1:5">
      <c r="A295" t="str">
        <f t="shared" si="6"/>
        <v>美森加班卡派RFD2</v>
      </c>
      <c r="B295" s="3" t="s">
        <v>82</v>
      </c>
      <c r="C295" s="3" t="s">
        <v>1379</v>
      </c>
      <c r="D295" s="3">
        <v>17</v>
      </c>
      <c r="E295" s="4" t="s">
        <v>2201</v>
      </c>
    </row>
    <row r="296" ht="15.75" spans="1:5">
      <c r="A296" t="str">
        <f t="shared" si="6"/>
        <v>美森加班卡派CLT2</v>
      </c>
      <c r="B296" s="3" t="s">
        <v>82</v>
      </c>
      <c r="C296" s="3" t="s">
        <v>1045</v>
      </c>
      <c r="D296" s="3">
        <v>18</v>
      </c>
      <c r="E296" s="4" t="s">
        <v>2202</v>
      </c>
    </row>
    <row r="297" ht="15.75" spans="1:5">
      <c r="A297" t="str">
        <f t="shared" ref="A297:A307" si="7">B297&amp;C297</f>
        <v>美森加班卡派RDU4</v>
      </c>
      <c r="B297" s="3" t="s">
        <v>82</v>
      </c>
      <c r="C297" s="3" t="s">
        <v>1297</v>
      </c>
      <c r="D297" s="3">
        <v>18</v>
      </c>
      <c r="E297" s="4" t="s">
        <v>2202</v>
      </c>
    </row>
    <row r="298" ht="15.75" spans="1:5">
      <c r="A298" t="str">
        <f t="shared" si="7"/>
        <v>美森加班卡派RDU2</v>
      </c>
      <c r="B298" s="3" t="s">
        <v>82</v>
      </c>
      <c r="C298" s="3" t="s">
        <v>1273</v>
      </c>
      <c r="D298" s="3">
        <v>18</v>
      </c>
      <c r="E298" s="4" t="s">
        <v>2202</v>
      </c>
    </row>
    <row r="299" ht="15.75" spans="1:5">
      <c r="A299" t="str">
        <f t="shared" si="7"/>
        <v>美森加班卡派LAN2</v>
      </c>
      <c r="B299" s="3" t="s">
        <v>82</v>
      </c>
      <c r="C299" s="3" t="s">
        <v>1305</v>
      </c>
      <c r="D299" s="3">
        <v>18</v>
      </c>
      <c r="E299" s="4" t="s">
        <v>2202</v>
      </c>
    </row>
    <row r="300" ht="15.75" spans="1:5">
      <c r="A300" t="str">
        <f t="shared" si="7"/>
        <v>美森加班卡派BNA6</v>
      </c>
      <c r="B300" s="3" t="s">
        <v>82</v>
      </c>
      <c r="C300" s="3" t="s">
        <v>1322</v>
      </c>
      <c r="D300" s="3">
        <v>18</v>
      </c>
      <c r="E300" s="4" t="s">
        <v>2202</v>
      </c>
    </row>
    <row r="301" ht="15.75" spans="1:5">
      <c r="A301" t="str">
        <f t="shared" si="7"/>
        <v>美森加班卡派AVP1</v>
      </c>
      <c r="B301" s="3" t="s">
        <v>82</v>
      </c>
      <c r="C301" s="3" t="s">
        <v>1153</v>
      </c>
      <c r="D301" s="3">
        <v>18</v>
      </c>
      <c r="E301" s="4" t="s">
        <v>2203</v>
      </c>
    </row>
    <row r="302" ht="15.75" spans="1:5">
      <c r="A302" t="str">
        <f t="shared" si="7"/>
        <v>美森加班卡派ORF2</v>
      </c>
      <c r="B302" s="3" t="s">
        <v>82</v>
      </c>
      <c r="C302" s="3" t="s">
        <v>1277</v>
      </c>
      <c r="D302" s="3">
        <v>18</v>
      </c>
      <c r="E302" s="4" t="s">
        <v>2203</v>
      </c>
    </row>
    <row r="303" ht="15.75" spans="1:5">
      <c r="A303" t="str">
        <f t="shared" si="7"/>
        <v>美森加班卡派SWF2</v>
      </c>
      <c r="B303" s="3" t="s">
        <v>82</v>
      </c>
      <c r="C303" s="3" t="s">
        <v>1260</v>
      </c>
      <c r="D303" s="3">
        <v>18</v>
      </c>
      <c r="E303" s="4" t="s">
        <v>2203</v>
      </c>
    </row>
    <row r="304" ht="15.75" spans="1:5">
      <c r="A304" t="str">
        <f t="shared" si="7"/>
        <v>美森加班卡派ABE8</v>
      </c>
      <c r="B304" s="3" t="s">
        <v>82</v>
      </c>
      <c r="C304" s="3" t="s">
        <v>208</v>
      </c>
      <c r="D304" s="3">
        <v>18</v>
      </c>
      <c r="E304" s="4" t="s">
        <v>2203</v>
      </c>
    </row>
    <row r="305" ht="15.75" spans="1:5">
      <c r="A305" t="str">
        <f t="shared" si="7"/>
        <v>美森加班卡派TEB9</v>
      </c>
      <c r="B305" s="3" t="s">
        <v>82</v>
      </c>
      <c r="C305" s="3" t="s">
        <v>182</v>
      </c>
      <c r="D305" s="3">
        <v>18</v>
      </c>
      <c r="E305" s="4" t="s">
        <v>2203</v>
      </c>
    </row>
    <row r="306" ht="15.75" spans="1:5">
      <c r="A306" t="str">
        <f t="shared" si="7"/>
        <v>美森加班卡派TPA3</v>
      </c>
      <c r="B306" s="3" t="s">
        <v>82</v>
      </c>
      <c r="C306" s="3" t="s">
        <v>953</v>
      </c>
      <c r="D306" s="3">
        <v>18</v>
      </c>
      <c r="E306" s="4" t="s">
        <v>2203</v>
      </c>
    </row>
    <row r="307" ht="15.75" spans="1:5">
      <c r="A307" t="str">
        <f t="shared" si="7"/>
        <v>美森加班卡派RMN3</v>
      </c>
      <c r="B307" s="3" t="s">
        <v>82</v>
      </c>
      <c r="C307" s="3" t="s">
        <v>1281</v>
      </c>
      <c r="D307" s="3">
        <v>18</v>
      </c>
      <c r="E307" s="4" t="s">
        <v>2203</v>
      </c>
    </row>
    <row r="309" ht="33.75" spans="1:5">
      <c r="B309" s="1" t="s">
        <v>2190</v>
      </c>
      <c r="C309" s="1" t="s">
        <v>170</v>
      </c>
      <c r="D309" s="1" t="s">
        <v>2191</v>
      </c>
      <c r="E309" s="2" t="s">
        <v>2192</v>
      </c>
    </row>
    <row r="310" ht="15.75" spans="1:5">
      <c r="A310" t="str">
        <f t="shared" ref="A310:A373" si="8">B310&amp;C310</f>
        <v>丰速达18T卡派ONT8</v>
      </c>
      <c r="B310" s="3" t="s">
        <v>66</v>
      </c>
      <c r="C310" s="3" t="s">
        <v>395</v>
      </c>
      <c r="D310" s="3">
        <v>17</v>
      </c>
      <c r="E310" s="4" t="s">
        <v>2193</v>
      </c>
    </row>
    <row r="311" ht="15.75" spans="1:5">
      <c r="A311" t="str">
        <f t="shared" si="8"/>
        <v>丰速达18T卡派LGB8</v>
      </c>
      <c r="B311" s="3" t="s">
        <v>66</v>
      </c>
      <c r="C311" s="3" t="s">
        <v>419</v>
      </c>
      <c r="D311" s="3">
        <v>17</v>
      </c>
      <c r="E311" s="4" t="s">
        <v>2193</v>
      </c>
    </row>
    <row r="312" ht="15.75" spans="1:5">
      <c r="A312" t="str">
        <f t="shared" si="8"/>
        <v>丰速达18T卡派LAX9</v>
      </c>
      <c r="B312" s="3" t="s">
        <v>66</v>
      </c>
      <c r="C312" s="3" t="s">
        <v>433</v>
      </c>
      <c r="D312" s="3">
        <v>17</v>
      </c>
      <c r="E312" s="4" t="s">
        <v>2193</v>
      </c>
    </row>
    <row r="313" ht="15.75" spans="1:5">
      <c r="A313" t="str">
        <f t="shared" si="8"/>
        <v>丰速达18T卡派SBD1</v>
      </c>
      <c r="B313" s="3" t="s">
        <v>66</v>
      </c>
      <c r="C313" s="3" t="s">
        <v>440</v>
      </c>
      <c r="D313" s="3">
        <v>17</v>
      </c>
      <c r="E313" s="4" t="s">
        <v>2193</v>
      </c>
    </row>
    <row r="314" ht="15.75" spans="1:5">
      <c r="A314" t="str">
        <f t="shared" si="8"/>
        <v>丰速达18T卡派POC1</v>
      </c>
      <c r="B314" s="3" t="s">
        <v>66</v>
      </c>
      <c r="C314" s="3" t="s">
        <v>1407</v>
      </c>
      <c r="D314" s="3">
        <v>17</v>
      </c>
      <c r="E314" s="4" t="s">
        <v>2193</v>
      </c>
    </row>
    <row r="315" ht="15.75" spans="1:5">
      <c r="A315" t="str">
        <f t="shared" si="8"/>
        <v>丰速达18T卡派POC2</v>
      </c>
      <c r="B315" s="3" t="s">
        <v>66</v>
      </c>
      <c r="C315" s="3" t="s">
        <v>1456</v>
      </c>
      <c r="D315" s="3">
        <v>17</v>
      </c>
      <c r="E315" s="4" t="s">
        <v>2193</v>
      </c>
    </row>
    <row r="316" ht="15.75" spans="1:5">
      <c r="A316" t="str">
        <f t="shared" si="8"/>
        <v>丰速达18T卡派POC3</v>
      </c>
      <c r="B316" s="3" t="s">
        <v>66</v>
      </c>
      <c r="C316" s="3" t="s">
        <v>1410</v>
      </c>
      <c r="D316" s="3">
        <v>17</v>
      </c>
      <c r="E316" s="4" t="s">
        <v>2193</v>
      </c>
    </row>
    <row r="317" ht="15.75" spans="1:5">
      <c r="A317" t="str">
        <f t="shared" si="8"/>
        <v>丰速达18T卡派IUSP</v>
      </c>
      <c r="B317" s="3" t="s">
        <v>66</v>
      </c>
      <c r="C317" s="3" t="s">
        <v>1393</v>
      </c>
      <c r="D317" s="3">
        <v>17</v>
      </c>
      <c r="E317" s="4" t="s">
        <v>2194</v>
      </c>
    </row>
    <row r="318" ht="15.75" spans="1:5">
      <c r="A318" t="str">
        <f t="shared" si="8"/>
        <v>丰速达18T卡派IUSQ</v>
      </c>
      <c r="B318" s="3" t="s">
        <v>66</v>
      </c>
      <c r="C318" s="3" t="s">
        <v>1361</v>
      </c>
      <c r="D318" s="3">
        <v>17</v>
      </c>
      <c r="E318" s="4" t="s">
        <v>2194</v>
      </c>
    </row>
    <row r="319" ht="15.75" spans="1:5">
      <c r="A319" t="str">
        <f t="shared" si="8"/>
        <v>丰速达18T卡派IUSJ</v>
      </c>
      <c r="B319" s="3" t="s">
        <v>66</v>
      </c>
      <c r="C319" s="3" t="s">
        <v>1264</v>
      </c>
      <c r="D319" s="3">
        <v>17</v>
      </c>
      <c r="E319" s="4" t="s">
        <v>2194</v>
      </c>
    </row>
    <row r="320" ht="15.75" spans="1:5">
      <c r="A320" t="str">
        <f t="shared" si="8"/>
        <v>丰速达18T卡派IUTI</v>
      </c>
      <c r="B320" s="3" t="s">
        <v>66</v>
      </c>
      <c r="C320" s="3" t="s">
        <v>1466</v>
      </c>
      <c r="D320" s="3">
        <v>17</v>
      </c>
      <c r="E320" s="4" t="s">
        <v>2194</v>
      </c>
    </row>
    <row r="321" ht="15.75" spans="1:5">
      <c r="A321" t="str">
        <f t="shared" si="8"/>
        <v>丰速达18T卡派IUSW</v>
      </c>
      <c r="B321" s="3" t="s">
        <v>66</v>
      </c>
      <c r="C321" s="3" t="s">
        <v>1468</v>
      </c>
      <c r="D321" s="3">
        <v>17</v>
      </c>
      <c r="E321" s="4" t="s">
        <v>2194</v>
      </c>
    </row>
    <row r="322" ht="15.75" spans="1:5">
      <c r="A322" t="str">
        <f t="shared" si="8"/>
        <v>丰速达18T卡派SNA4</v>
      </c>
      <c r="B322" s="3" t="s">
        <v>66</v>
      </c>
      <c r="C322" s="3" t="s">
        <v>415</v>
      </c>
      <c r="D322" s="3">
        <v>17</v>
      </c>
      <c r="E322" s="4" t="s">
        <v>2194</v>
      </c>
    </row>
    <row r="323" ht="15.75" spans="1:5">
      <c r="A323" t="str">
        <f t="shared" si="8"/>
        <v>丰速达18T卡派SBD2</v>
      </c>
      <c r="B323" s="3" t="s">
        <v>66</v>
      </c>
      <c r="C323" s="3" t="s">
        <v>405</v>
      </c>
      <c r="D323" s="3">
        <v>17</v>
      </c>
      <c r="E323" s="4" t="s">
        <v>2194</v>
      </c>
    </row>
    <row r="324" ht="15.75" spans="1:5">
      <c r="A324" t="str">
        <f t="shared" si="8"/>
        <v>丰速达18T卡派LGB4</v>
      </c>
      <c r="B324" s="3" t="s">
        <v>66</v>
      </c>
      <c r="C324" s="3" t="s">
        <v>431</v>
      </c>
      <c r="D324" s="3">
        <v>17</v>
      </c>
      <c r="E324" s="4" t="s">
        <v>2194</v>
      </c>
    </row>
    <row r="325" ht="15.75" spans="1:5">
      <c r="A325" t="str">
        <f t="shared" si="8"/>
        <v>丰速达18T卡派LGB6</v>
      </c>
      <c r="B325" s="3" t="s">
        <v>66</v>
      </c>
      <c r="C325" s="3" t="s">
        <v>397</v>
      </c>
      <c r="D325" s="3">
        <v>17</v>
      </c>
      <c r="E325" s="4" t="s">
        <v>2194</v>
      </c>
    </row>
    <row r="326" ht="15.75" spans="1:5">
      <c r="A326" t="str">
        <f t="shared" si="8"/>
        <v>丰速达18T卡派LGB9</v>
      </c>
      <c r="B326" s="3" t="s">
        <v>66</v>
      </c>
      <c r="C326" s="3" t="s">
        <v>388</v>
      </c>
      <c r="D326" s="3">
        <v>17</v>
      </c>
      <c r="E326" s="4" t="s">
        <v>2194</v>
      </c>
    </row>
    <row r="327" ht="15.75" spans="1:5">
      <c r="A327" t="str">
        <f t="shared" si="8"/>
        <v>丰速达18T卡派XLX7</v>
      </c>
      <c r="B327" s="3" t="s">
        <v>66</v>
      </c>
      <c r="C327" s="3" t="s">
        <v>2195</v>
      </c>
      <c r="D327" s="3">
        <v>17</v>
      </c>
      <c r="E327" s="4" t="s">
        <v>2194</v>
      </c>
    </row>
    <row r="328" ht="15.75" spans="1:5">
      <c r="A328" t="str">
        <f t="shared" si="8"/>
        <v>丰速达18T卡派GYR2</v>
      </c>
      <c r="B328" s="3" t="s">
        <v>66</v>
      </c>
      <c r="C328" s="3" t="s">
        <v>499</v>
      </c>
      <c r="D328" s="3">
        <v>17</v>
      </c>
      <c r="E328" s="4" t="s">
        <v>2196</v>
      </c>
    </row>
    <row r="329" ht="15.75" spans="1:5">
      <c r="A329" t="str">
        <f t="shared" si="8"/>
        <v>丰速达18T卡派GYR3</v>
      </c>
      <c r="B329" s="3" t="s">
        <v>66</v>
      </c>
      <c r="C329" s="3" t="s">
        <v>513</v>
      </c>
      <c r="D329" s="3">
        <v>17</v>
      </c>
      <c r="E329" s="4" t="s">
        <v>2196</v>
      </c>
    </row>
    <row r="330" ht="15.75" spans="1:5">
      <c r="A330" t="str">
        <f t="shared" si="8"/>
        <v>丰速达18T卡派TCY1</v>
      </c>
      <c r="B330" s="3" t="s">
        <v>66</v>
      </c>
      <c r="C330" s="3" t="s">
        <v>1445</v>
      </c>
      <c r="D330" s="3">
        <v>17</v>
      </c>
      <c r="E330" s="4" t="s">
        <v>2196</v>
      </c>
    </row>
    <row r="331" ht="15.75" spans="1:5">
      <c r="A331" t="str">
        <f t="shared" si="8"/>
        <v>丰速达18T卡派TCY2</v>
      </c>
      <c r="B331" s="3" t="s">
        <v>66</v>
      </c>
      <c r="C331" s="3" t="s">
        <v>1443</v>
      </c>
      <c r="D331" s="3">
        <v>17</v>
      </c>
      <c r="E331" s="4" t="s">
        <v>2196</v>
      </c>
    </row>
    <row r="332" ht="15.75" spans="1:5">
      <c r="A332" t="str">
        <f t="shared" si="8"/>
        <v>丰速达18T卡派HLI2</v>
      </c>
      <c r="B332" s="3" t="s">
        <v>66</v>
      </c>
      <c r="C332" s="3" t="s">
        <v>1439</v>
      </c>
      <c r="D332" s="3">
        <v>17</v>
      </c>
      <c r="E332" s="4" t="s">
        <v>2196</v>
      </c>
    </row>
    <row r="333" ht="15.75" spans="1:5">
      <c r="A333" t="str">
        <f t="shared" si="8"/>
        <v>丰速达18T卡派MIT2</v>
      </c>
      <c r="B333" s="3" t="s">
        <v>66</v>
      </c>
      <c r="C333" s="3" t="s">
        <v>1350</v>
      </c>
      <c r="D333" s="3">
        <v>17</v>
      </c>
      <c r="E333" s="4" t="s">
        <v>2196</v>
      </c>
    </row>
    <row r="334" ht="15.75" spans="1:5">
      <c r="A334" t="str">
        <f t="shared" si="8"/>
        <v>丰速达18T卡派GEU2</v>
      </c>
      <c r="B334" s="3" t="s">
        <v>66</v>
      </c>
      <c r="C334" s="3" t="s">
        <v>1366</v>
      </c>
      <c r="D334" s="3">
        <v>17</v>
      </c>
      <c r="E334" s="4" t="s">
        <v>2196</v>
      </c>
    </row>
    <row r="335" ht="15.75" spans="1:5">
      <c r="A335" t="str">
        <f t="shared" si="8"/>
        <v>丰速达18T卡派GEU3</v>
      </c>
      <c r="B335" s="3" t="s">
        <v>66</v>
      </c>
      <c r="C335" s="3" t="s">
        <v>1353</v>
      </c>
      <c r="D335" s="3">
        <v>17</v>
      </c>
      <c r="E335" s="4" t="s">
        <v>2196</v>
      </c>
    </row>
    <row r="336" ht="15.75" spans="1:5">
      <c r="A336" t="str">
        <f t="shared" si="8"/>
        <v>丰速达18T卡派GEU5</v>
      </c>
      <c r="B336" s="3" t="s">
        <v>66</v>
      </c>
      <c r="C336" s="3" t="s">
        <v>1364</v>
      </c>
      <c r="D336" s="3">
        <v>17</v>
      </c>
      <c r="E336" s="4" t="s">
        <v>2196</v>
      </c>
    </row>
    <row r="337" ht="15.75" spans="1:5">
      <c r="A337" t="str">
        <f t="shared" si="8"/>
        <v>丰速达18T卡派LAS1</v>
      </c>
      <c r="B337" s="3" t="s">
        <v>66</v>
      </c>
      <c r="C337" s="3" t="s">
        <v>485</v>
      </c>
      <c r="D337" s="3">
        <v>17</v>
      </c>
      <c r="E337" s="4" t="s">
        <v>2196</v>
      </c>
    </row>
    <row r="338" ht="15.75" spans="1:5">
      <c r="A338" t="str">
        <f t="shared" si="8"/>
        <v>丰速达18T卡派VGT2</v>
      </c>
      <c r="B338" s="3" t="s">
        <v>66</v>
      </c>
      <c r="C338" s="3" t="s">
        <v>1242</v>
      </c>
      <c r="D338" s="3">
        <v>17</v>
      </c>
      <c r="E338" s="4" t="s">
        <v>2196</v>
      </c>
    </row>
    <row r="339" ht="15.75" spans="1:5">
      <c r="A339" t="str">
        <f t="shared" si="8"/>
        <v>丰速达18T卡派SMF3</v>
      </c>
      <c r="B339" s="3" t="s">
        <v>66</v>
      </c>
      <c r="C339" s="3" t="s">
        <v>362</v>
      </c>
      <c r="D339" s="3">
        <v>17</v>
      </c>
      <c r="E339" s="4" t="s">
        <v>2196</v>
      </c>
    </row>
    <row r="340" ht="15.75" spans="1:5">
      <c r="A340" t="str">
        <f t="shared" si="8"/>
        <v>丰速达18T卡派SCK4</v>
      </c>
      <c r="B340" s="3" t="s">
        <v>66</v>
      </c>
      <c r="C340" s="3" t="s">
        <v>360</v>
      </c>
      <c r="D340" s="3">
        <v>17</v>
      </c>
      <c r="E340" s="4" t="s">
        <v>2196</v>
      </c>
    </row>
    <row r="341" ht="15.75" spans="1:5">
      <c r="A341" t="str">
        <f t="shared" si="8"/>
        <v>丰速达18T卡派IUTE</v>
      </c>
      <c r="B341" s="3" t="s">
        <v>66</v>
      </c>
      <c r="C341" s="3" t="s">
        <v>1471</v>
      </c>
      <c r="D341" s="3">
        <v>17</v>
      </c>
      <c r="E341" s="4" t="s">
        <v>2196</v>
      </c>
    </row>
    <row r="342" ht="15.75" spans="1:5">
      <c r="A342" t="str">
        <f t="shared" si="8"/>
        <v>丰速达18T卡派QXY8</v>
      </c>
      <c r="B342" s="3" t="s">
        <v>66</v>
      </c>
      <c r="C342" s="3" t="s">
        <v>1555</v>
      </c>
      <c r="D342" s="3">
        <v>17</v>
      </c>
      <c r="E342" s="4" t="s">
        <v>2196</v>
      </c>
    </row>
    <row r="343" ht="15.75" spans="1:5">
      <c r="A343" t="str">
        <f t="shared" si="8"/>
        <v>丰速达18T卡派SCK8</v>
      </c>
      <c r="B343" s="3" t="s">
        <v>66</v>
      </c>
      <c r="C343" s="3" t="s">
        <v>1270</v>
      </c>
      <c r="D343" s="3">
        <v>17</v>
      </c>
      <c r="E343" s="4" t="s">
        <v>2197</v>
      </c>
    </row>
    <row r="344" ht="15.75" spans="1:5">
      <c r="A344" t="str">
        <f t="shared" si="8"/>
        <v>丰速达18T卡派FAT2</v>
      </c>
      <c r="B344" s="3" t="s">
        <v>66</v>
      </c>
      <c r="C344" s="3" t="s">
        <v>380</v>
      </c>
      <c r="D344" s="3">
        <v>17</v>
      </c>
      <c r="E344" s="4" t="s">
        <v>2197</v>
      </c>
    </row>
    <row r="345" ht="15.75" spans="1:5">
      <c r="A345" t="str">
        <f t="shared" si="8"/>
        <v>丰速达18T卡派LAS6</v>
      </c>
      <c r="B345" s="3" t="s">
        <v>66</v>
      </c>
      <c r="C345" s="3" t="s">
        <v>474</v>
      </c>
      <c r="D345" s="3">
        <v>17</v>
      </c>
      <c r="E345" s="4" t="s">
        <v>2197</v>
      </c>
    </row>
    <row r="346" ht="15.75" spans="1:5">
      <c r="A346" t="str">
        <f t="shared" si="8"/>
        <v>丰速达18T卡派MCE1</v>
      </c>
      <c r="B346" s="3" t="s">
        <v>66</v>
      </c>
      <c r="C346" s="3" t="s">
        <v>1238</v>
      </c>
      <c r="D346" s="3">
        <v>17</v>
      </c>
      <c r="E346" s="4" t="s">
        <v>2197</v>
      </c>
    </row>
    <row r="347" ht="15.75" spans="1:5">
      <c r="A347" t="str">
        <f t="shared" si="8"/>
        <v>丰速达18T卡派PHX5</v>
      </c>
      <c r="B347" s="3" t="s">
        <v>66</v>
      </c>
      <c r="C347" s="3" t="s">
        <v>506</v>
      </c>
      <c r="D347" s="3">
        <v>17</v>
      </c>
      <c r="E347" s="4" t="s">
        <v>2197</v>
      </c>
    </row>
    <row r="348" ht="15.75" spans="1:5">
      <c r="A348" t="str">
        <f t="shared" si="8"/>
        <v>丰速达18T卡派PHX7</v>
      </c>
      <c r="B348" s="3" t="s">
        <v>66</v>
      </c>
      <c r="C348" s="3" t="s">
        <v>522</v>
      </c>
      <c r="D348" s="3">
        <v>17</v>
      </c>
      <c r="E348" s="4" t="s">
        <v>2197</v>
      </c>
    </row>
    <row r="349" ht="15.75" spans="1:5">
      <c r="A349" t="str">
        <f t="shared" si="8"/>
        <v>丰速达18T卡派SMF6</v>
      </c>
      <c r="B349" s="3" t="s">
        <v>66</v>
      </c>
      <c r="C349" s="3" t="s">
        <v>329</v>
      </c>
      <c r="D349" s="3">
        <v>17</v>
      </c>
      <c r="E349" s="4" t="s">
        <v>2197</v>
      </c>
    </row>
    <row r="350" ht="15.75" spans="1:5">
      <c r="A350" t="str">
        <f t="shared" si="8"/>
        <v>丰速达18T卡派OAK3</v>
      </c>
      <c r="B350" s="3" t="s">
        <v>66</v>
      </c>
      <c r="C350" s="3" t="s">
        <v>345</v>
      </c>
      <c r="D350" s="3">
        <v>17</v>
      </c>
      <c r="E350" s="4" t="s">
        <v>2197</v>
      </c>
    </row>
    <row r="351" ht="15.75" spans="1:5">
      <c r="A351" t="str">
        <f t="shared" si="8"/>
        <v>丰速达18T卡派SLC2</v>
      </c>
      <c r="B351" s="3" t="s">
        <v>66</v>
      </c>
      <c r="C351" s="3" t="s">
        <v>532</v>
      </c>
      <c r="D351" s="3">
        <v>19</v>
      </c>
      <c r="E351" s="4" t="s">
        <v>2198</v>
      </c>
    </row>
    <row r="352" ht="15.75" spans="1:5">
      <c r="A352" t="str">
        <f t="shared" si="8"/>
        <v>丰速达18T卡派ABQ2</v>
      </c>
      <c r="B352" s="3" t="s">
        <v>66</v>
      </c>
      <c r="C352" s="3" t="s">
        <v>1313</v>
      </c>
      <c r="D352" s="3">
        <v>19</v>
      </c>
      <c r="E352" s="4" t="s">
        <v>2198</v>
      </c>
    </row>
    <row r="353" ht="15.75" spans="1:5">
      <c r="A353" t="str">
        <f t="shared" si="8"/>
        <v>丰速达18T卡派FTW1</v>
      </c>
      <c r="B353" s="3" t="s">
        <v>66</v>
      </c>
      <c r="C353" s="3" t="s">
        <v>614</v>
      </c>
      <c r="D353" s="3">
        <v>19</v>
      </c>
      <c r="E353" s="4" t="s">
        <v>2199</v>
      </c>
    </row>
    <row r="354" ht="15.75" spans="1:5">
      <c r="A354" t="str">
        <f t="shared" si="8"/>
        <v>丰速达18T卡派DFW6</v>
      </c>
      <c r="B354" s="3" t="s">
        <v>66</v>
      </c>
      <c r="C354" s="3" t="s">
        <v>632</v>
      </c>
      <c r="D354" s="3">
        <v>19</v>
      </c>
      <c r="E354" s="4" t="s">
        <v>2199</v>
      </c>
    </row>
    <row r="355" ht="15.75" spans="1:5">
      <c r="A355" t="str">
        <f t="shared" si="8"/>
        <v>丰速达18T卡派IUSF</v>
      </c>
      <c r="B355" s="3" t="s">
        <v>66</v>
      </c>
      <c r="C355" s="3" t="s">
        <v>1370</v>
      </c>
      <c r="D355" s="3">
        <v>19</v>
      </c>
      <c r="E355" s="4" t="s">
        <v>2199</v>
      </c>
    </row>
    <row r="356" ht="15.75" spans="1:5">
      <c r="A356" t="str">
        <f t="shared" si="8"/>
        <v>丰速达18T卡派SAT1</v>
      </c>
      <c r="B356" s="3" t="s">
        <v>66</v>
      </c>
      <c r="C356" s="3" t="s">
        <v>564</v>
      </c>
      <c r="D356" s="3">
        <v>19</v>
      </c>
      <c r="E356" s="4" t="s">
        <v>2199</v>
      </c>
    </row>
    <row r="357" ht="15.75" spans="1:5">
      <c r="A357" t="str">
        <f t="shared" si="8"/>
        <v>丰速达18T卡派SAT4</v>
      </c>
      <c r="B357" s="3" t="s">
        <v>66</v>
      </c>
      <c r="C357" s="3" t="s">
        <v>560</v>
      </c>
      <c r="D357" s="3">
        <v>19</v>
      </c>
      <c r="E357" s="4" t="s">
        <v>2199</v>
      </c>
    </row>
    <row r="358" ht="15.75" spans="1:5">
      <c r="A358" t="str">
        <f t="shared" si="8"/>
        <v>丰速达18T卡派FTW5</v>
      </c>
      <c r="B358" s="3" t="s">
        <v>66</v>
      </c>
      <c r="C358" s="3" t="s">
        <v>625</v>
      </c>
      <c r="D358" s="3">
        <v>19</v>
      </c>
      <c r="E358" s="4" t="s">
        <v>2199</v>
      </c>
    </row>
    <row r="359" ht="15.75" spans="1:5">
      <c r="A359" t="str">
        <f t="shared" si="8"/>
        <v>丰速达18T卡派IAH3</v>
      </c>
      <c r="B359" s="3" t="s">
        <v>66</v>
      </c>
      <c r="C359" s="3" t="s">
        <v>1266</v>
      </c>
      <c r="D359" s="3">
        <v>19</v>
      </c>
      <c r="E359" s="4" t="s">
        <v>2199</v>
      </c>
    </row>
    <row r="360" ht="15.75" spans="1:5">
      <c r="A360" t="str">
        <f t="shared" si="8"/>
        <v>丰速达18T卡派HOU8</v>
      </c>
      <c r="B360" s="3" t="s">
        <v>66</v>
      </c>
      <c r="C360" s="3" t="s">
        <v>568</v>
      </c>
      <c r="D360" s="3">
        <v>19</v>
      </c>
      <c r="E360" s="4" t="s">
        <v>2199</v>
      </c>
    </row>
    <row r="361" ht="15.75" spans="1:5">
      <c r="A361" t="str">
        <f t="shared" si="8"/>
        <v>丰速达18T卡派AMA1</v>
      </c>
      <c r="B361" s="3" t="s">
        <v>66</v>
      </c>
      <c r="C361" s="3" t="s">
        <v>1252</v>
      </c>
      <c r="D361" s="3">
        <v>19</v>
      </c>
      <c r="E361" s="4" t="s">
        <v>2199</v>
      </c>
    </row>
    <row r="362" ht="15.75" spans="1:5">
      <c r="A362" t="str">
        <f t="shared" si="8"/>
        <v>丰速达18T卡派DEN2</v>
      </c>
      <c r="B362" s="3" t="s">
        <v>66</v>
      </c>
      <c r="C362" s="3" t="s">
        <v>541</v>
      </c>
      <c r="D362" s="3">
        <v>19</v>
      </c>
      <c r="E362" s="4" t="s">
        <v>2200</v>
      </c>
    </row>
    <row r="363" ht="15.75" spans="1:5">
      <c r="A363" t="str">
        <f t="shared" si="8"/>
        <v>丰速达18T卡派DEN8</v>
      </c>
      <c r="B363" s="3" t="s">
        <v>66</v>
      </c>
      <c r="C363" s="3" t="s">
        <v>548</v>
      </c>
      <c r="D363" s="3">
        <v>19</v>
      </c>
      <c r="E363" s="4" t="s">
        <v>2200</v>
      </c>
    </row>
    <row r="364" ht="15.75" spans="1:5">
      <c r="A364" t="str">
        <f t="shared" si="8"/>
        <v>丰速达18T卡派PSC2</v>
      </c>
      <c r="B364" s="3" t="s">
        <v>66</v>
      </c>
      <c r="C364" s="3" t="s">
        <v>1326</v>
      </c>
      <c r="D364" s="3">
        <v>19</v>
      </c>
      <c r="E364" s="4" t="s">
        <v>2200</v>
      </c>
    </row>
    <row r="365" ht="15.75" spans="1:5">
      <c r="A365" t="str">
        <f t="shared" si="8"/>
        <v>丰速达18T卡派BFI3</v>
      </c>
      <c r="B365" s="3" t="s">
        <v>66</v>
      </c>
      <c r="C365" s="3" t="s">
        <v>298</v>
      </c>
      <c r="D365" s="3">
        <v>19</v>
      </c>
      <c r="E365" s="4" t="s">
        <v>2200</v>
      </c>
    </row>
    <row r="366" ht="15.75" spans="1:5">
      <c r="A366" t="str">
        <f t="shared" si="8"/>
        <v>丰速达18T卡派GEG2</v>
      </c>
      <c r="B366" s="3" t="s">
        <v>66</v>
      </c>
      <c r="C366" s="3" t="s">
        <v>287</v>
      </c>
      <c r="D366" s="3">
        <v>19</v>
      </c>
      <c r="E366" s="4" t="s">
        <v>2200</v>
      </c>
    </row>
    <row r="367" ht="15.75" spans="1:5">
      <c r="A367" t="str">
        <f t="shared" si="8"/>
        <v>丰速达18T卡派IND9</v>
      </c>
      <c r="B367" s="3" t="s">
        <v>66</v>
      </c>
      <c r="C367" s="3" t="s">
        <v>803</v>
      </c>
      <c r="D367" s="3">
        <v>19</v>
      </c>
      <c r="E367" s="4" t="s">
        <v>2201</v>
      </c>
    </row>
    <row r="368" ht="15.75" spans="1:5">
      <c r="A368" t="str">
        <f t="shared" si="8"/>
        <v>丰速达18T卡派MQJ1</v>
      </c>
      <c r="B368" s="3" t="s">
        <v>66</v>
      </c>
      <c r="C368" s="3" t="s">
        <v>807</v>
      </c>
      <c r="D368" s="3">
        <v>19</v>
      </c>
      <c r="E368" s="4" t="s">
        <v>2201</v>
      </c>
    </row>
    <row r="369" ht="15.75" spans="1:5">
      <c r="A369" t="str">
        <f t="shared" si="8"/>
        <v>丰速达18T卡派MDW2</v>
      </c>
      <c r="B369" s="3" t="s">
        <v>66</v>
      </c>
      <c r="C369" s="3" t="s">
        <v>718</v>
      </c>
      <c r="D369" s="3">
        <v>19</v>
      </c>
      <c r="E369" s="4" t="s">
        <v>2201</v>
      </c>
    </row>
    <row r="370" ht="15.75" spans="1:5">
      <c r="A370" t="str">
        <f t="shared" si="8"/>
        <v>丰速达18T卡派FWA4</v>
      </c>
      <c r="B370" s="3" t="s">
        <v>66</v>
      </c>
      <c r="C370" s="3" t="s">
        <v>783</v>
      </c>
      <c r="D370" s="3">
        <v>19</v>
      </c>
      <c r="E370" s="4" t="s">
        <v>2201</v>
      </c>
    </row>
    <row r="371" ht="15.75" spans="1:5">
      <c r="A371" t="str">
        <f t="shared" si="8"/>
        <v>丰速达18T卡派MEM1</v>
      </c>
      <c r="B371" s="3" t="s">
        <v>66</v>
      </c>
      <c r="C371" s="3" t="s">
        <v>911</v>
      </c>
      <c r="D371" s="3">
        <v>19</v>
      </c>
      <c r="E371" s="4" t="s">
        <v>2201</v>
      </c>
    </row>
    <row r="372" ht="15.75" spans="1:5">
      <c r="A372" t="str">
        <f t="shared" si="8"/>
        <v>丰速达18T卡派RFD2</v>
      </c>
      <c r="B372" s="3" t="s">
        <v>66</v>
      </c>
      <c r="C372" s="3" t="s">
        <v>1379</v>
      </c>
      <c r="D372" s="3">
        <v>19</v>
      </c>
      <c r="E372" s="4" t="s">
        <v>2201</v>
      </c>
    </row>
    <row r="373" ht="15.75" spans="1:5">
      <c r="A373" t="str">
        <f t="shared" si="8"/>
        <v>丰速达18T卡派CLT2</v>
      </c>
      <c r="B373" s="3" t="s">
        <v>66</v>
      </c>
      <c r="C373" s="3" t="s">
        <v>1045</v>
      </c>
      <c r="D373" s="3">
        <v>20</v>
      </c>
      <c r="E373" s="4" t="s">
        <v>2202</v>
      </c>
    </row>
    <row r="374" ht="15.75" spans="1:5">
      <c r="A374" t="str">
        <f t="shared" ref="A374:A384" si="9">B374&amp;C374</f>
        <v>丰速达18T卡派RDU4</v>
      </c>
      <c r="B374" s="3" t="s">
        <v>66</v>
      </c>
      <c r="C374" s="3" t="s">
        <v>1297</v>
      </c>
      <c r="D374" s="3">
        <v>20</v>
      </c>
      <c r="E374" s="4" t="s">
        <v>2202</v>
      </c>
    </row>
    <row r="375" ht="15.75" spans="1:5">
      <c r="A375" t="str">
        <f t="shared" si="9"/>
        <v>丰速达18T卡派RDU2</v>
      </c>
      <c r="B375" s="3" t="s">
        <v>66</v>
      </c>
      <c r="C375" s="3" t="s">
        <v>1273</v>
      </c>
      <c r="D375" s="3">
        <v>20</v>
      </c>
      <c r="E375" s="4" t="s">
        <v>2202</v>
      </c>
    </row>
    <row r="376" ht="15.75" spans="1:5">
      <c r="A376" t="str">
        <f t="shared" si="9"/>
        <v>丰速达18T卡派LAN2</v>
      </c>
      <c r="B376" s="3" t="s">
        <v>66</v>
      </c>
      <c r="C376" s="3" t="s">
        <v>1305</v>
      </c>
      <c r="D376" s="3">
        <v>20</v>
      </c>
      <c r="E376" s="4" t="s">
        <v>2202</v>
      </c>
    </row>
    <row r="377" ht="15.75" spans="1:5">
      <c r="A377" t="str">
        <f t="shared" si="9"/>
        <v>丰速达18T卡派BNA6</v>
      </c>
      <c r="B377" s="3" t="s">
        <v>66</v>
      </c>
      <c r="C377" s="3" t="s">
        <v>1322</v>
      </c>
      <c r="D377" s="3">
        <v>20</v>
      </c>
      <c r="E377" s="4" t="s">
        <v>2202</v>
      </c>
    </row>
    <row r="378" ht="15.75" spans="1:5">
      <c r="A378" t="str">
        <f t="shared" si="9"/>
        <v>丰速达18T卡派AVP1</v>
      </c>
      <c r="B378" s="3" t="s">
        <v>66</v>
      </c>
      <c r="C378" s="3" t="s">
        <v>1153</v>
      </c>
      <c r="D378" s="3">
        <v>20</v>
      </c>
      <c r="E378" s="4" t="s">
        <v>2203</v>
      </c>
    </row>
    <row r="379" ht="15.75" spans="1:5">
      <c r="A379" t="str">
        <f t="shared" si="9"/>
        <v>丰速达18T卡派ORF2</v>
      </c>
      <c r="B379" s="3" t="s">
        <v>66</v>
      </c>
      <c r="C379" s="3" t="s">
        <v>1277</v>
      </c>
      <c r="D379" s="3">
        <v>20</v>
      </c>
      <c r="E379" s="4" t="s">
        <v>2203</v>
      </c>
    </row>
    <row r="380" ht="15.75" spans="1:5">
      <c r="A380" t="str">
        <f t="shared" si="9"/>
        <v>丰速达18T卡派SWF2</v>
      </c>
      <c r="B380" s="3" t="s">
        <v>66</v>
      </c>
      <c r="C380" s="3" t="s">
        <v>1260</v>
      </c>
      <c r="D380" s="3">
        <v>20</v>
      </c>
      <c r="E380" s="4" t="s">
        <v>2203</v>
      </c>
    </row>
    <row r="381" ht="15.75" spans="1:5">
      <c r="A381" t="str">
        <f t="shared" si="9"/>
        <v>丰速达18T卡派ABE8</v>
      </c>
      <c r="B381" s="3" t="s">
        <v>66</v>
      </c>
      <c r="C381" s="3" t="s">
        <v>208</v>
      </c>
      <c r="D381" s="3">
        <v>20</v>
      </c>
      <c r="E381" s="4" t="s">
        <v>2203</v>
      </c>
    </row>
    <row r="382" ht="15.75" spans="1:5">
      <c r="A382" t="str">
        <f t="shared" si="9"/>
        <v>丰速达18T卡派TEB9</v>
      </c>
      <c r="B382" s="3" t="s">
        <v>66</v>
      </c>
      <c r="C382" s="3" t="s">
        <v>182</v>
      </c>
      <c r="D382" s="3">
        <v>20</v>
      </c>
      <c r="E382" s="4" t="s">
        <v>2203</v>
      </c>
    </row>
    <row r="383" ht="15.75" spans="1:5">
      <c r="A383" t="str">
        <f t="shared" si="9"/>
        <v>丰速达18T卡派TPA3</v>
      </c>
      <c r="B383" s="3" t="s">
        <v>66</v>
      </c>
      <c r="C383" s="3" t="s">
        <v>953</v>
      </c>
      <c r="D383" s="3">
        <v>20</v>
      </c>
      <c r="E383" s="4" t="s">
        <v>2203</v>
      </c>
    </row>
    <row r="384" ht="15.75" spans="1:5">
      <c r="A384" t="str">
        <f t="shared" si="9"/>
        <v>丰速达18T卡派RMN3</v>
      </c>
      <c r="B384" s="3" t="s">
        <v>66</v>
      </c>
      <c r="C384" s="3" t="s">
        <v>1281</v>
      </c>
      <c r="D384" s="3">
        <v>20</v>
      </c>
      <c r="E384" s="4" t="s">
        <v>2203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模板(版本20251230)</vt:lpstr>
      <vt:lpstr>报关方式</vt:lpstr>
      <vt:lpstr>发货渠道</vt:lpstr>
      <vt:lpstr>地址库</vt:lpstr>
      <vt:lpstr>预计送仓数据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严绍瑶</cp:lastModifiedBy>
  <dcterms:created xsi:type="dcterms:W3CDTF">2006-09-16T00:00:00Z</dcterms:created>
  <dcterms:modified xsi:type="dcterms:W3CDTF">2026-03-11T01:08:34Z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F714400BAAC74A9D8FCD715EEAF674F3_13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